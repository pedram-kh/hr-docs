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GuillermoElizaldeEli\Downloads\"/>
    </mc:Choice>
  </mc:AlternateContent>
  <xr:revisionPtr revIDLastSave="0" documentId="8_{284BB605-BEFA-4A26-AA1B-2DC99043CCCB}" xr6:coauthVersionLast="47" xr6:coauthVersionMax="47" xr10:uidLastSave="{00000000-0000-0000-0000-000000000000}"/>
  <bookViews>
    <workbookView xWindow="28680" yWindow="-120" windowWidth="29040" windowHeight="15720" xr2:uid="{42B61799-7724-4353-86DA-7FF2F52C51F6}"/>
  </bookViews>
  <sheets>
    <sheet name="Convenios" sheetId="2" r:id="rId1"/>
  </sheets>
  <externalReferences>
    <externalReference r:id="rId2"/>
  </externalReferences>
  <definedNames>
    <definedName name="Apr" localSheetId="0">Convenios!DaysAndWeeks+DATE(Convenios!CalendarYear,4,1)-WEEKDAY(DATE(Convenios!CalendarYear,4,1),Convenios!WeekdayOption)+1</definedName>
    <definedName name="Apr">DaysAndWeeks+DATE(CalendarYear,4,1)-WEEKDAY(DATE(CalendarYear,4,1),WeekdayOption)+1</definedName>
    <definedName name="Aug" localSheetId="0">Convenios!DaysAndWeeks+DATE(Convenios!CalendarYear,8,1)-WEEKDAY(DATE(Convenios!CalendarYear,8,1),Convenios!WeekdayOption)+1</definedName>
    <definedName name="Aug">DaysAndWeeks+DATE(CalendarYear,8,1)-WEEKDAY(DATE(CalendarYear,8,1),WeekdayOption)+1</definedName>
    <definedName name="Calendar" localSheetId="0">Convenios!DaysAndWeeks + DateOfFirst - WEEKDAY(DateOfFirst,2)</definedName>
    <definedName name="Calendar">DaysAndWeeks + DateOfFirst - WEEKDAY(DateOfFirst,2)</definedName>
    <definedName name="CalendarYear" localSheetId="0">#REF!</definedName>
    <definedName name="CalendarYear">#REF!</definedName>
    <definedName name="DayHeaders" localSheetId="0">LEFT(TEXT(#REF!,"ddd"),1)</definedName>
    <definedName name="DayHeaders">LEFT(TEXT(#REF!,"ddd"),1)</definedName>
    <definedName name="DaysAndWeeks" localSheetId="0">{0,1,2,3,4,5,6} + {0;1;2;3;4;5}*7</definedName>
    <definedName name="DaysAndWeeks">{0,1,2,3,4,5,6} + {0;1;2;3;4;5}*7</definedName>
    <definedName name="Dec" localSheetId="0">Convenios!DaysAndWeeks+DATE(Convenios!CalendarYear,12,1)-WEEKDAY(DATE(Convenios!CalendarYear,12,1),Convenios!WeekdayOption)+1</definedName>
    <definedName name="Dec">DaysAndWeeks+DATE(CalendarYear,12,1)-WEEKDAY(DATE(CalendarYear,12,1),WeekdayOption)+1</definedName>
    <definedName name="Feb" localSheetId="0">Convenios!DaysAndWeeks+DATE(Convenios!CalendarYear,2,1)-WEEKDAY(DATE(Convenios!CalendarYear,2,1),Convenios!WeekdayOption)+1</definedName>
    <definedName name="Feb">DaysAndWeeks+DATE(CalendarYear,2,1)-WEEKDAY(DATE(CalendarYear,2,1),WeekdayOption)+1</definedName>
    <definedName name="Jan" localSheetId="0">Convenios!DaysAndWeeks+DATE(Convenios!CalendarYear,1,1)-WEEKDAY(DATE(Convenios!CalendarYear,1,1),Convenios!WeekdayOption)+1</definedName>
    <definedName name="Jan">DaysAndWeeks+DATE(CalendarYear,1,1)-WEEKDAY(DATE(CalendarYear,1,1),WeekdayOption)+1</definedName>
    <definedName name="Jul" localSheetId="0">Convenios!DaysAndWeeks+DATE(Convenios!CalendarYear,7,1)-WEEKDAY(DATE(Convenios!CalendarYear,7,1),Convenios!WeekdayOption)+1</definedName>
    <definedName name="Jul">DaysAndWeeks+DATE(CalendarYear,7,1)-WEEKDAY(DATE(CalendarYear,7,1),WeekdayOption)+1</definedName>
    <definedName name="Jun" localSheetId="0">Convenios!DaysAndWeeks+DATE(Convenios!CalendarYear,6,1)-WEEKDAY(DATE(Convenios!CalendarYear,6,1),Convenios!WeekdayOption)+1</definedName>
    <definedName name="Jun">DaysAndWeeks+DATE(CalendarYear,6,1)-WEEKDAY(DATE(CalendarYear,6,1),WeekdayOption)+1</definedName>
    <definedName name="Mar" localSheetId="0">Convenios!DaysAndWeeks+DATE(Convenios!CalendarYear,3,1)-WEEKDAY(DATE(Convenios!CalendarYear,3,1),Convenios!WeekdayOption)+1</definedName>
    <definedName name="Mar">DaysAndWeeks+DATE(CalendarYear,3,1)-WEEKDAY(DATE(CalendarYear,3,1),WeekdayOption)+1</definedName>
    <definedName name="May" localSheetId="0">Convenios!DaysAndWeeks+DATE(Convenios!CalendarYear,5,1)-WEEKDAY(DATE(Convenios!CalendarYear,5,1),Convenios!WeekdayOption)+1</definedName>
    <definedName name="May">DaysAndWeeks+DATE(CalendarYear,5,1)-WEEKDAY(DATE(CalendarYear,5,1),WeekdayOption)+1</definedName>
    <definedName name="MonthHeaders" localSheetId="0">UPPER(TEXT(#REF!,"mmmm"))</definedName>
    <definedName name="MonthHeaders">UPPER(TEXT(#REF!,"mmmm"))</definedName>
    <definedName name="Nov" localSheetId="0">Convenios!DaysAndWeeks+DATE(Convenios!CalendarYear,11,1)-WEEKDAY(DATE(Convenios!CalendarYear,11,1),Convenios!WeekdayOption)+1</definedName>
    <definedName name="Nov">DaysAndWeeks+DATE(CalendarYear,11,1)-WEEKDAY(DATE(CalendarYear,11,1),WeekdayOption)+1</definedName>
    <definedName name="Oct" localSheetId="0">Convenios!DaysAndWeeks+DATE(Convenios!CalendarYear,10,1)-WEEKDAY(DATE(Convenios!CalendarYear,10,1),Convenios!WeekdayOption)+1</definedName>
    <definedName name="Oct">DaysAndWeeks+DATE(CalendarYear,10,1)-WEEKDAY(DATE(CalendarYear,10,1),WeekdayOption)+1</definedName>
    <definedName name="Sep" localSheetId="0">Convenios!DaysAndWeeks+DATE(Convenios!CalendarYear,9,1)-WEEKDAY(DATE(Convenios!CalendarYear,9,1),Convenios!WeekdayOption)+1</definedName>
    <definedName name="Sep">DaysAndWeeks+DATE(CalendarYear,9,1)-WEEKDAY(DATE(CalendarYear,9,1),WeekdayOption)+1</definedName>
    <definedName name="WeekdayOption" localSheetId="0">MATCH(Convenios!WeekStart,Convenios!Weekdays,0)+10</definedName>
    <definedName name="WeekdayOption">MATCH(WeekStart,Weekdays,0)+10</definedName>
    <definedName name="Weekdays" localSheetId="0">{"Lunes","Martes","Miércoles","Jueves","Viernes","Sábado","Domingo"}</definedName>
    <definedName name="Weekdays">{"Lunes","Martes","Miércoles","Jueves","Viernes","Sábado","Domingo"}</definedName>
    <definedName name="WeekStart" localSheetId="0">#REF!</definedName>
    <definedName name="WeekSta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14" i="2" l="1"/>
  <c r="R714" i="2"/>
  <c r="Q714" i="2"/>
  <c r="P714" i="2"/>
  <c r="O714" i="2"/>
  <c r="M714" i="2"/>
  <c r="I714" i="2"/>
  <c r="S713" i="2"/>
  <c r="R713" i="2"/>
  <c r="Q713" i="2"/>
  <c r="P713" i="2"/>
  <c r="O713" i="2"/>
  <c r="M713" i="2"/>
  <c r="J713" i="2"/>
  <c r="I713" i="2"/>
  <c r="S712" i="2"/>
  <c r="R712" i="2"/>
  <c r="Q712" i="2"/>
  <c r="P712" i="2"/>
  <c r="O712" i="2"/>
  <c r="M712" i="2"/>
  <c r="L712" i="2"/>
  <c r="K712" i="2"/>
  <c r="I712" i="2"/>
  <c r="J712" i="2" s="1"/>
  <c r="S711" i="2"/>
  <c r="R711" i="2"/>
  <c r="Q711" i="2"/>
  <c r="P711" i="2"/>
  <c r="O711" i="2"/>
  <c r="M711" i="2"/>
  <c r="I711" i="2"/>
  <c r="S710" i="2"/>
  <c r="R710" i="2"/>
  <c r="Q710" i="2"/>
  <c r="P710" i="2"/>
  <c r="O710" i="2"/>
  <c r="M710" i="2"/>
  <c r="I710" i="2"/>
  <c r="S709" i="2"/>
  <c r="R709" i="2"/>
  <c r="Q709" i="2"/>
  <c r="P709" i="2"/>
  <c r="O709" i="2"/>
  <c r="M709" i="2"/>
  <c r="L709" i="2"/>
  <c r="K709" i="2"/>
  <c r="J709" i="2"/>
  <c r="I709" i="2"/>
  <c r="S708" i="2"/>
  <c r="R708" i="2"/>
  <c r="Q708" i="2"/>
  <c r="P708" i="2"/>
  <c r="O708" i="2"/>
  <c r="M708" i="2"/>
  <c r="I708" i="2"/>
  <c r="L708" i="2" s="1"/>
  <c r="S707" i="2"/>
  <c r="R707" i="2"/>
  <c r="Q707" i="2"/>
  <c r="P707" i="2"/>
  <c r="O707" i="2"/>
  <c r="M707" i="2"/>
  <c r="I707" i="2"/>
  <c r="S706" i="2"/>
  <c r="R706" i="2"/>
  <c r="Q706" i="2"/>
  <c r="P706" i="2"/>
  <c r="O706" i="2"/>
  <c r="M706" i="2"/>
  <c r="L706" i="2"/>
  <c r="K706" i="2"/>
  <c r="I706" i="2"/>
  <c r="J706" i="2" s="1"/>
  <c r="S705" i="2"/>
  <c r="R705" i="2"/>
  <c r="Q705" i="2"/>
  <c r="P705" i="2"/>
  <c r="O705" i="2"/>
  <c r="M705" i="2"/>
  <c r="I705" i="2"/>
  <c r="S704" i="2"/>
  <c r="S702" i="2" s="1"/>
  <c r="R704" i="2"/>
  <c r="R702" i="2" s="1"/>
  <c r="Q704" i="2"/>
  <c r="P704" i="2"/>
  <c r="O704" i="2"/>
  <c r="M704" i="2"/>
  <c r="L704" i="2"/>
  <c r="K704" i="2"/>
  <c r="I704" i="2"/>
  <c r="J704" i="2" s="1"/>
  <c r="Q702" i="2"/>
  <c r="P702" i="2"/>
  <c r="F690" i="2"/>
  <c r="F689" i="2"/>
  <c r="F686" i="2"/>
  <c r="F688" i="2" s="1"/>
  <c r="J684" i="2"/>
  <c r="E684" i="2"/>
  <c r="J683" i="2"/>
  <c r="E683" i="2"/>
  <c r="F683" i="2" s="1"/>
  <c r="G683" i="2" s="1"/>
  <c r="J682" i="2"/>
  <c r="F682" i="2"/>
  <c r="G682" i="2" s="1"/>
  <c r="E682" i="2"/>
  <c r="J681" i="2"/>
  <c r="E681" i="2"/>
  <c r="J680" i="2"/>
  <c r="E680" i="2"/>
  <c r="F677" i="2"/>
  <c r="E663" i="2"/>
  <c r="H651" i="2"/>
  <c r="G647" i="2"/>
  <c r="E647" i="2"/>
  <c r="J646" i="2"/>
  <c r="M646" i="2" s="1"/>
  <c r="N646" i="2" s="1"/>
  <c r="G646" i="2"/>
  <c r="H646" i="2" s="1"/>
  <c r="Q646" i="2" s="1"/>
  <c r="E646" i="2"/>
  <c r="G645" i="2"/>
  <c r="E645" i="2"/>
  <c r="J644" i="2"/>
  <c r="H644" i="2"/>
  <c r="Q644" i="2" s="1"/>
  <c r="G644" i="2"/>
  <c r="E644" i="2"/>
  <c r="O633" i="2"/>
  <c r="M633" i="2"/>
  <c r="O632" i="2"/>
  <c r="M632" i="2"/>
  <c r="O631" i="2"/>
  <c r="M631" i="2"/>
  <c r="O630" i="2"/>
  <c r="M630" i="2"/>
  <c r="O629" i="2"/>
  <c r="M629" i="2"/>
  <c r="O625" i="2"/>
  <c r="M625" i="2"/>
  <c r="E625" i="2"/>
  <c r="F625" i="2" s="1"/>
  <c r="G625" i="2" s="1"/>
  <c r="K625" i="2" s="1"/>
  <c r="O624" i="2"/>
  <c r="M624" i="2"/>
  <c r="E624" i="2"/>
  <c r="F624" i="2" s="1"/>
  <c r="G624" i="2" s="1"/>
  <c r="K624" i="2" s="1"/>
  <c r="O623" i="2"/>
  <c r="M623" i="2"/>
  <c r="E623" i="2"/>
  <c r="F623" i="2" s="1"/>
  <c r="G623" i="2" s="1"/>
  <c r="K623" i="2" s="1"/>
  <c r="O622" i="2"/>
  <c r="M622" i="2"/>
  <c r="E622" i="2"/>
  <c r="F622" i="2" s="1"/>
  <c r="G622" i="2" s="1"/>
  <c r="K622" i="2" s="1"/>
  <c r="O621" i="2"/>
  <c r="M621" i="2"/>
  <c r="E621" i="2"/>
  <c r="F621" i="2" s="1"/>
  <c r="G621" i="2" s="1"/>
  <c r="K621" i="2" s="1"/>
  <c r="O620" i="2"/>
  <c r="M620" i="2"/>
  <c r="F620" i="2"/>
  <c r="G620" i="2" s="1"/>
  <c r="K620" i="2" s="1"/>
  <c r="E620" i="2"/>
  <c r="O619" i="2"/>
  <c r="M619" i="2"/>
  <c r="E619" i="2"/>
  <c r="F619" i="2" s="1"/>
  <c r="G619" i="2" s="1"/>
  <c r="K619" i="2" s="1"/>
  <c r="O618" i="2"/>
  <c r="M618" i="2"/>
  <c r="E618" i="2"/>
  <c r="F618" i="2" s="1"/>
  <c r="G618" i="2" s="1"/>
  <c r="K618" i="2" s="1"/>
  <c r="G616" i="2"/>
  <c r="K616" i="2" s="1"/>
  <c r="E616" i="2"/>
  <c r="F616" i="2" s="1"/>
  <c r="N615" i="2"/>
  <c r="L615" i="2"/>
  <c r="J615" i="2"/>
  <c r="O613" i="2"/>
  <c r="M613" i="2"/>
  <c r="K613" i="2"/>
  <c r="E613" i="2"/>
  <c r="F613" i="2" s="1"/>
  <c r="G613" i="2" s="1"/>
  <c r="H613" i="2" s="1"/>
  <c r="O612" i="2"/>
  <c r="M612" i="2"/>
  <c r="K612" i="2"/>
  <c r="F612" i="2"/>
  <c r="G612" i="2" s="1"/>
  <c r="H612" i="2" s="1"/>
  <c r="E612" i="2"/>
  <c r="O611" i="2"/>
  <c r="M611" i="2"/>
  <c r="K611" i="2"/>
  <c r="F611" i="2"/>
  <c r="G611" i="2" s="1"/>
  <c r="H611" i="2" s="1"/>
  <c r="E611" i="2"/>
  <c r="O610" i="2"/>
  <c r="M610" i="2"/>
  <c r="K610" i="2"/>
  <c r="E610" i="2"/>
  <c r="F610" i="2" s="1"/>
  <c r="G610" i="2" s="1"/>
  <c r="H610" i="2" s="1"/>
  <c r="O609" i="2"/>
  <c r="M609" i="2"/>
  <c r="K609" i="2"/>
  <c r="E609" i="2"/>
  <c r="F609" i="2" s="1"/>
  <c r="G609" i="2" s="1"/>
  <c r="N607" i="2"/>
  <c r="L607" i="2"/>
  <c r="D591" i="2"/>
  <c r="D590" i="2"/>
  <c r="D589" i="2"/>
  <c r="E587" i="2"/>
  <c r="F581" i="2"/>
  <c r="G581" i="2" s="1"/>
  <c r="E581" i="2"/>
  <c r="F580" i="2"/>
  <c r="G580" i="2" s="1"/>
  <c r="E580" i="2"/>
  <c r="O578" i="2"/>
  <c r="N578" i="2"/>
  <c r="F577" i="2"/>
  <c r="G577" i="2" s="1"/>
  <c r="E577" i="2"/>
  <c r="F576" i="2"/>
  <c r="G576" i="2" s="1"/>
  <c r="E576" i="2"/>
  <c r="G575" i="2"/>
  <c r="E575" i="2"/>
  <c r="F575" i="2" s="1"/>
  <c r="E574" i="2"/>
  <c r="F574" i="2" s="1"/>
  <c r="G574" i="2" s="1"/>
  <c r="E573" i="2"/>
  <c r="F573" i="2" s="1"/>
  <c r="G573" i="2" s="1"/>
  <c r="K570" i="2"/>
  <c r="L570" i="2" s="1"/>
  <c r="H570" i="2"/>
  <c r="L569" i="2"/>
  <c r="K569" i="2"/>
  <c r="H569" i="2"/>
  <c r="K568" i="2"/>
  <c r="L568" i="2" s="1"/>
  <c r="H568" i="2"/>
  <c r="L567" i="2"/>
  <c r="K567" i="2"/>
  <c r="H567" i="2"/>
  <c r="K566" i="2"/>
  <c r="L566" i="2" s="1"/>
  <c r="H566" i="2"/>
  <c r="U565" i="2"/>
  <c r="T565" i="2"/>
  <c r="S565" i="2"/>
  <c r="R565" i="2"/>
  <c r="G562" i="2"/>
  <c r="F562" i="2"/>
  <c r="E562" i="2"/>
  <c r="E539" i="2"/>
  <c r="F539" i="2" s="1"/>
  <c r="G539" i="2" s="1"/>
  <c r="F538" i="2"/>
  <c r="G538" i="2" s="1"/>
  <c r="E538" i="2"/>
  <c r="E537" i="2"/>
  <c r="F537" i="2" s="1"/>
  <c r="G537" i="2" s="1"/>
  <c r="E536" i="2"/>
  <c r="F536" i="2" s="1"/>
  <c r="G536" i="2" s="1"/>
  <c r="E535" i="2"/>
  <c r="F535" i="2" s="1"/>
  <c r="G535" i="2" s="1"/>
  <c r="F526" i="2"/>
  <c r="F525" i="2"/>
  <c r="G524" i="2"/>
  <c r="F524" i="2"/>
  <c r="F522" i="2"/>
  <c r="G522" i="2" s="1"/>
  <c r="F521" i="2"/>
  <c r="G521" i="2" s="1"/>
  <c r="F520" i="2"/>
  <c r="G520" i="2" s="1"/>
  <c r="F519" i="2"/>
  <c r="G519" i="2" s="1"/>
  <c r="F518" i="2"/>
  <c r="G518" i="2" s="1"/>
  <c r="F517" i="2"/>
  <c r="G517" i="2" s="1"/>
  <c r="G516" i="2"/>
  <c r="F516" i="2"/>
  <c r="F515" i="2"/>
  <c r="G515" i="2" s="1"/>
  <c r="G513" i="2"/>
  <c r="F513" i="2"/>
  <c r="G512" i="2"/>
  <c r="F512" i="2"/>
  <c r="F511" i="2"/>
  <c r="G511" i="2" s="1"/>
  <c r="G510" i="2"/>
  <c r="F510" i="2"/>
  <c r="G509" i="2"/>
  <c r="H509" i="2" s="1"/>
  <c r="F509" i="2"/>
  <c r="F508" i="2"/>
  <c r="G508" i="2" s="1"/>
  <c r="F507" i="2"/>
  <c r="G507" i="2" s="1"/>
  <c r="F506" i="2"/>
  <c r="G506" i="2" s="1"/>
  <c r="F505" i="2"/>
  <c r="G505" i="2" s="1"/>
  <c r="F504" i="2"/>
  <c r="G504" i="2" s="1"/>
  <c r="G503" i="2"/>
  <c r="F503" i="2"/>
  <c r="F501" i="2"/>
  <c r="G501" i="2" s="1"/>
  <c r="F500" i="2"/>
  <c r="G500" i="2" s="1"/>
  <c r="F499" i="2"/>
  <c r="G499" i="2" s="1"/>
  <c r="F496" i="2"/>
  <c r="G496" i="2" s="1"/>
  <c r="F495" i="2"/>
  <c r="G495" i="2" s="1"/>
  <c r="G494" i="2"/>
  <c r="F494" i="2"/>
  <c r="F493" i="2"/>
  <c r="G493" i="2" s="1"/>
  <c r="F492" i="2"/>
  <c r="G492" i="2" s="1"/>
  <c r="F491" i="2"/>
  <c r="G491" i="2" s="1"/>
  <c r="E489" i="2"/>
  <c r="F489" i="2" s="1"/>
  <c r="G489" i="2" s="1"/>
  <c r="L463" i="2"/>
  <c r="N463" i="2" s="1"/>
  <c r="J463" i="2"/>
  <c r="K463" i="2" s="1"/>
  <c r="F463" i="2"/>
  <c r="G463" i="2" s="1"/>
  <c r="J462" i="2"/>
  <c r="K462" i="2" s="1"/>
  <c r="L462" i="2" s="1"/>
  <c r="N462" i="2" s="1"/>
  <c r="F462" i="2"/>
  <c r="G462" i="2" s="1"/>
  <c r="J461" i="2"/>
  <c r="K461" i="2" s="1"/>
  <c r="L461" i="2" s="1"/>
  <c r="N461" i="2" s="1"/>
  <c r="F461" i="2"/>
  <c r="G461" i="2" s="1"/>
  <c r="K460" i="2"/>
  <c r="L460" i="2" s="1"/>
  <c r="N460" i="2" s="1"/>
  <c r="J460" i="2"/>
  <c r="F460" i="2"/>
  <c r="G460" i="2" s="1"/>
  <c r="J459" i="2"/>
  <c r="K459" i="2" s="1"/>
  <c r="L459" i="2" s="1"/>
  <c r="N459" i="2" s="1"/>
  <c r="G459" i="2"/>
  <c r="F459" i="2"/>
  <c r="K458" i="2"/>
  <c r="L458" i="2" s="1"/>
  <c r="N458" i="2" s="1"/>
  <c r="J458" i="2"/>
  <c r="F458" i="2"/>
  <c r="G458" i="2" s="1"/>
  <c r="J457" i="2"/>
  <c r="K457" i="2" s="1"/>
  <c r="L457" i="2" s="1"/>
  <c r="N457" i="2" s="1"/>
  <c r="F457" i="2"/>
  <c r="G457" i="2" s="1"/>
  <c r="J456" i="2"/>
  <c r="K456" i="2" s="1"/>
  <c r="L456" i="2" s="1"/>
  <c r="N456" i="2" s="1"/>
  <c r="G456" i="2"/>
  <c r="F456" i="2"/>
  <c r="E454" i="2"/>
  <c r="K440" i="2"/>
  <c r="L438" i="2"/>
  <c r="L440" i="2" s="1"/>
  <c r="K438" i="2"/>
  <c r="K443" i="2" s="1"/>
  <c r="L437" i="2"/>
  <c r="L436" i="2"/>
  <c r="L434" i="2"/>
  <c r="P431" i="2"/>
  <c r="M431" i="2"/>
  <c r="O431" i="2" s="1"/>
  <c r="H431" i="2"/>
  <c r="I431" i="2" s="1"/>
  <c r="F431" i="2"/>
  <c r="P430" i="2"/>
  <c r="M430" i="2"/>
  <c r="O430" i="2" s="1"/>
  <c r="I430" i="2"/>
  <c r="H430" i="2"/>
  <c r="F430" i="2"/>
  <c r="P429" i="2"/>
  <c r="M429" i="2"/>
  <c r="O429" i="2" s="1"/>
  <c r="H429" i="2"/>
  <c r="F429" i="2"/>
  <c r="P428" i="2"/>
  <c r="M428" i="2"/>
  <c r="O428" i="2" s="1"/>
  <c r="H428" i="2"/>
  <c r="F428" i="2"/>
  <c r="P427" i="2"/>
  <c r="O427" i="2"/>
  <c r="M427" i="2"/>
  <c r="H427" i="2"/>
  <c r="F427" i="2"/>
  <c r="P426" i="2"/>
  <c r="M426" i="2"/>
  <c r="O426" i="2" s="1"/>
  <c r="H426" i="2"/>
  <c r="F426" i="2"/>
  <c r="P425" i="2"/>
  <c r="O425" i="2"/>
  <c r="M425" i="2"/>
  <c r="H425" i="2"/>
  <c r="I425" i="2" s="1"/>
  <c r="F425" i="2"/>
  <c r="P424" i="2"/>
  <c r="M424" i="2"/>
  <c r="O424" i="2" s="1"/>
  <c r="H424" i="2"/>
  <c r="I424" i="2" s="1"/>
  <c r="F424" i="2"/>
  <c r="P423" i="2"/>
  <c r="M423" i="2"/>
  <c r="O423" i="2" s="1"/>
  <c r="H423" i="2"/>
  <c r="F423" i="2"/>
  <c r="P422" i="2"/>
  <c r="M422" i="2"/>
  <c r="N422" i="2" s="1"/>
  <c r="I422" i="2"/>
  <c r="G422" i="2"/>
  <c r="E422" i="2"/>
  <c r="T414" i="2"/>
  <c r="S414" i="2"/>
  <c r="R414" i="2"/>
  <c r="T403" i="2"/>
  <c r="O403" i="2"/>
  <c r="P403" i="2" s="1"/>
  <c r="F403" i="2"/>
  <c r="M403" i="2" s="1"/>
  <c r="T402" i="2"/>
  <c r="P402" i="2"/>
  <c r="O402" i="2"/>
  <c r="F402" i="2"/>
  <c r="M402" i="2" s="1"/>
  <c r="T401" i="2"/>
  <c r="O401" i="2"/>
  <c r="P401" i="2" s="1"/>
  <c r="M401" i="2"/>
  <c r="F401" i="2"/>
  <c r="H401" i="2" s="1"/>
  <c r="L401" i="2" s="1"/>
  <c r="T400" i="2"/>
  <c r="P400" i="2"/>
  <c r="O400" i="2"/>
  <c r="F400" i="2"/>
  <c r="M400" i="2" s="1"/>
  <c r="T399" i="2"/>
  <c r="O399" i="2"/>
  <c r="P399" i="2" s="1"/>
  <c r="M399" i="2"/>
  <c r="H399" i="2"/>
  <c r="F399" i="2"/>
  <c r="E399" i="2"/>
  <c r="T398" i="2"/>
  <c r="P398" i="2"/>
  <c r="O398" i="2"/>
  <c r="F398" i="2"/>
  <c r="E398" i="2"/>
  <c r="N398" i="2" s="1"/>
  <c r="T397" i="2"/>
  <c r="P397" i="2"/>
  <c r="O397" i="2"/>
  <c r="N397" i="2"/>
  <c r="M397" i="2"/>
  <c r="E397" i="2"/>
  <c r="F397" i="2" s="1"/>
  <c r="H397" i="2" s="1"/>
  <c r="T396" i="2"/>
  <c r="P396" i="2"/>
  <c r="O396" i="2"/>
  <c r="N396" i="2"/>
  <c r="F396" i="2"/>
  <c r="E396" i="2"/>
  <c r="E370" i="2"/>
  <c r="F370" i="2" s="1"/>
  <c r="G370" i="2" s="1"/>
  <c r="E369" i="2"/>
  <c r="F369" i="2" s="1"/>
  <c r="G369" i="2" s="1"/>
  <c r="G368" i="2"/>
  <c r="F368" i="2"/>
  <c r="E368" i="2"/>
  <c r="F367" i="2"/>
  <c r="G367" i="2" s="1"/>
  <c r="E367" i="2"/>
  <c r="F366" i="2"/>
  <c r="G366" i="2" s="1"/>
  <c r="E366" i="2"/>
  <c r="E365" i="2"/>
  <c r="F365" i="2" s="1"/>
  <c r="G365" i="2" s="1"/>
  <c r="F364" i="2"/>
  <c r="G364" i="2" s="1"/>
  <c r="E364" i="2"/>
  <c r="F362" i="2"/>
  <c r="G362" i="2" s="1"/>
  <c r="E362" i="2"/>
  <c r="E361" i="2"/>
  <c r="F361" i="2" s="1"/>
  <c r="G361" i="2" s="1"/>
  <c r="E360" i="2"/>
  <c r="F360" i="2" s="1"/>
  <c r="G360" i="2" s="1"/>
  <c r="F359" i="2"/>
  <c r="G359" i="2" s="1"/>
  <c r="E359" i="2"/>
  <c r="F358" i="2"/>
  <c r="G358" i="2" s="1"/>
  <c r="E358" i="2"/>
  <c r="E357" i="2"/>
  <c r="F357" i="2" s="1"/>
  <c r="G357" i="2" s="1"/>
  <c r="E356" i="2"/>
  <c r="F356" i="2" s="1"/>
  <c r="G356" i="2" s="1"/>
  <c r="F355" i="2"/>
  <c r="G355" i="2" s="1"/>
  <c r="E355" i="2"/>
  <c r="F354" i="2"/>
  <c r="G354" i="2" s="1"/>
  <c r="E354" i="2"/>
  <c r="F353" i="2"/>
  <c r="G353" i="2" s="1"/>
  <c r="E353" i="2"/>
  <c r="E351" i="2"/>
  <c r="F351" i="2" s="1"/>
  <c r="G351" i="2" s="1"/>
  <c r="G350" i="2"/>
  <c r="F350" i="2"/>
  <c r="E350" i="2"/>
  <c r="F348" i="2"/>
  <c r="G348" i="2" s="1"/>
  <c r="E348" i="2"/>
  <c r="E347" i="2"/>
  <c r="F347" i="2" s="1"/>
  <c r="G347" i="2" s="1"/>
  <c r="F346" i="2"/>
  <c r="G346" i="2" s="1"/>
  <c r="E346" i="2"/>
  <c r="F345" i="2"/>
  <c r="G345" i="2" s="1"/>
  <c r="E345" i="2"/>
  <c r="P314" i="2"/>
  <c r="M314" i="2"/>
  <c r="N314" i="2" s="1"/>
  <c r="K314" i="2"/>
  <c r="J314" i="2"/>
  <c r="G314" i="2"/>
  <c r="D314" i="2"/>
  <c r="H314" i="2" s="1"/>
  <c r="Q313" i="2"/>
  <c r="P313" i="2"/>
  <c r="N313" i="2"/>
  <c r="M313" i="2"/>
  <c r="J313" i="2"/>
  <c r="G313" i="2"/>
  <c r="D313" i="2"/>
  <c r="P312" i="2"/>
  <c r="N312" i="2"/>
  <c r="M312" i="2"/>
  <c r="Q312" i="2" s="1"/>
  <c r="K312" i="2"/>
  <c r="J312" i="2"/>
  <c r="H312" i="2"/>
  <c r="G312" i="2"/>
  <c r="D312" i="2"/>
  <c r="P311" i="2"/>
  <c r="Q311" i="2" s="1"/>
  <c r="N311" i="2"/>
  <c r="M311" i="2"/>
  <c r="J311" i="2"/>
  <c r="H311" i="2"/>
  <c r="G311" i="2"/>
  <c r="D311" i="2"/>
  <c r="P310" i="2"/>
  <c r="M310" i="2"/>
  <c r="J310" i="2"/>
  <c r="G310" i="2"/>
  <c r="K310" i="2" s="1"/>
  <c r="D310" i="2"/>
  <c r="P309" i="2"/>
  <c r="M309" i="2"/>
  <c r="N309" i="2" s="1"/>
  <c r="J309" i="2"/>
  <c r="G309" i="2"/>
  <c r="K309" i="2" s="1"/>
  <c r="D309" i="2"/>
  <c r="P308" i="2"/>
  <c r="Q308" i="2" s="1"/>
  <c r="M308" i="2"/>
  <c r="N308" i="2" s="1"/>
  <c r="K308" i="2"/>
  <c r="J308" i="2"/>
  <c r="H308" i="2"/>
  <c r="G308" i="2"/>
  <c r="D308" i="2"/>
  <c r="Q307" i="2"/>
  <c r="P307" i="2"/>
  <c r="M307" i="2"/>
  <c r="N307" i="2" s="1"/>
  <c r="J307" i="2"/>
  <c r="H307" i="2"/>
  <c r="G307" i="2"/>
  <c r="K307" i="2" s="1"/>
  <c r="D307" i="2"/>
  <c r="Q306" i="2"/>
  <c r="P306" i="2"/>
  <c r="M306" i="2"/>
  <c r="K306" i="2"/>
  <c r="J306" i="2"/>
  <c r="G306" i="2"/>
  <c r="H306" i="2" s="1"/>
  <c r="D306" i="2"/>
  <c r="P305" i="2"/>
  <c r="Q305" i="2" s="1"/>
  <c r="N305" i="2"/>
  <c r="M305" i="2"/>
  <c r="J305" i="2"/>
  <c r="G305" i="2"/>
  <c r="D305" i="2"/>
  <c r="Q304" i="2"/>
  <c r="P304" i="2"/>
  <c r="N304" i="2"/>
  <c r="M304" i="2"/>
  <c r="J304" i="2"/>
  <c r="K304" i="2" s="1"/>
  <c r="G304" i="2"/>
  <c r="H304" i="2" s="1"/>
  <c r="D304" i="2"/>
  <c r="P303" i="2"/>
  <c r="M303" i="2"/>
  <c r="N303" i="2" s="1"/>
  <c r="K303" i="2"/>
  <c r="J303" i="2"/>
  <c r="G303" i="2"/>
  <c r="P302" i="2"/>
  <c r="Q302" i="2" s="1"/>
  <c r="M302" i="2"/>
  <c r="N302" i="2" s="1"/>
  <c r="J302" i="2"/>
  <c r="G302" i="2"/>
  <c r="D302" i="2"/>
  <c r="P301" i="2"/>
  <c r="Q301" i="2" s="1"/>
  <c r="N301" i="2"/>
  <c r="M301" i="2"/>
  <c r="K301" i="2"/>
  <c r="J301" i="2"/>
  <c r="H301" i="2"/>
  <c r="G301" i="2"/>
  <c r="D301" i="2"/>
  <c r="P300" i="2"/>
  <c r="Q300" i="2" s="1"/>
  <c r="M300" i="2"/>
  <c r="J300" i="2"/>
  <c r="G300" i="2"/>
  <c r="H300" i="2" s="1"/>
  <c r="D300" i="2"/>
  <c r="Q299" i="2"/>
  <c r="P299" i="2"/>
  <c r="M299" i="2"/>
  <c r="J299" i="2"/>
  <c r="N299" i="2" s="1"/>
  <c r="H299" i="2"/>
  <c r="G299" i="2"/>
  <c r="D299" i="2"/>
  <c r="P298" i="2"/>
  <c r="M298" i="2"/>
  <c r="N298" i="2" s="1"/>
  <c r="J298" i="2"/>
  <c r="K298" i="2" s="1"/>
  <c r="G298" i="2"/>
  <c r="D298" i="2"/>
  <c r="H298" i="2" s="1"/>
  <c r="P297" i="2"/>
  <c r="Q297" i="2" s="1"/>
  <c r="M297" i="2"/>
  <c r="N297" i="2" s="1"/>
  <c r="J297" i="2"/>
  <c r="K297" i="2" s="1"/>
  <c r="G297" i="2"/>
  <c r="D297" i="2"/>
  <c r="H297" i="2" s="1"/>
  <c r="P296" i="2"/>
  <c r="M296" i="2"/>
  <c r="J296" i="2"/>
  <c r="K296" i="2" s="1"/>
  <c r="G296" i="2"/>
  <c r="D296" i="2"/>
  <c r="H296" i="2" s="1"/>
  <c r="Q295" i="2"/>
  <c r="P295" i="2"/>
  <c r="M295" i="2"/>
  <c r="J295" i="2"/>
  <c r="N295" i="2" s="1"/>
  <c r="G295" i="2"/>
  <c r="D295" i="2"/>
  <c r="Q294" i="2"/>
  <c r="P294" i="2"/>
  <c r="M294" i="2"/>
  <c r="N294" i="2" s="1"/>
  <c r="J294" i="2"/>
  <c r="K294" i="2" s="1"/>
  <c r="H294" i="2"/>
  <c r="G294" i="2"/>
  <c r="D294" i="2"/>
  <c r="P293" i="2"/>
  <c r="M293" i="2"/>
  <c r="K293" i="2"/>
  <c r="J293" i="2"/>
  <c r="H293" i="2"/>
  <c r="G293" i="2"/>
  <c r="D293" i="2"/>
  <c r="Q292" i="2"/>
  <c r="P292" i="2"/>
  <c r="M292" i="2"/>
  <c r="N292" i="2" s="1"/>
  <c r="J292" i="2"/>
  <c r="G292" i="2"/>
  <c r="K292" i="2" s="1"/>
  <c r="D292" i="2"/>
  <c r="Q291" i="2"/>
  <c r="P291" i="2"/>
  <c r="N291" i="2"/>
  <c r="M291" i="2"/>
  <c r="J291" i="2"/>
  <c r="H291" i="2"/>
  <c r="G291" i="2"/>
  <c r="K291" i="2" s="1"/>
  <c r="D291" i="2"/>
  <c r="P290" i="2"/>
  <c r="M290" i="2"/>
  <c r="J290" i="2"/>
  <c r="K290" i="2" s="1"/>
  <c r="H290" i="2"/>
  <c r="G290" i="2"/>
  <c r="D290" i="2"/>
  <c r="P289" i="2"/>
  <c r="M289" i="2"/>
  <c r="N289" i="2" s="1"/>
  <c r="K289" i="2"/>
  <c r="J289" i="2"/>
  <c r="G289" i="2"/>
  <c r="D289" i="2"/>
  <c r="H289" i="2" s="1"/>
  <c r="P288" i="2"/>
  <c r="Q288" i="2" s="1"/>
  <c r="M288" i="2"/>
  <c r="K288" i="2"/>
  <c r="J288" i="2"/>
  <c r="N288" i="2" s="1"/>
  <c r="G288" i="2"/>
  <c r="D288" i="2"/>
  <c r="P287" i="2"/>
  <c r="N287" i="2"/>
  <c r="M287" i="2"/>
  <c r="Q287" i="2" s="1"/>
  <c r="J287" i="2"/>
  <c r="G287" i="2"/>
  <c r="D287" i="2"/>
  <c r="P270" i="2"/>
  <c r="O270" i="2"/>
  <c r="J270" i="2"/>
  <c r="I270" i="2"/>
  <c r="P269" i="2"/>
  <c r="O269" i="2"/>
  <c r="J269" i="2"/>
  <c r="I269" i="2"/>
  <c r="P268" i="2"/>
  <c r="O268" i="2"/>
  <c r="I268" i="2"/>
  <c r="J268" i="2" s="1"/>
  <c r="P267" i="2"/>
  <c r="O267" i="2"/>
  <c r="J267" i="2"/>
  <c r="I267" i="2"/>
  <c r="P266" i="2"/>
  <c r="O266" i="2"/>
  <c r="J266" i="2"/>
  <c r="I266" i="2"/>
  <c r="P265" i="2"/>
  <c r="O265" i="2"/>
  <c r="I265" i="2"/>
  <c r="J265" i="2" s="1"/>
  <c r="P264" i="2"/>
  <c r="O264" i="2"/>
  <c r="J264" i="2"/>
  <c r="I264" i="2"/>
  <c r="P263" i="2"/>
  <c r="O263" i="2"/>
  <c r="J263" i="2"/>
  <c r="I263" i="2"/>
  <c r="P262" i="2"/>
  <c r="O262" i="2"/>
  <c r="I262" i="2"/>
  <c r="J262" i="2" s="1"/>
  <c r="P261" i="2"/>
  <c r="O261" i="2"/>
  <c r="J261" i="2"/>
  <c r="I261" i="2"/>
  <c r="P260" i="2"/>
  <c r="O260" i="2"/>
  <c r="K260" i="2"/>
  <c r="J260" i="2"/>
  <c r="I260" i="2"/>
  <c r="P259" i="2"/>
  <c r="O259" i="2"/>
  <c r="I259" i="2"/>
  <c r="J259" i="2" s="1"/>
  <c r="P258" i="2"/>
  <c r="O258" i="2"/>
  <c r="J258" i="2"/>
  <c r="I258" i="2"/>
  <c r="P257" i="2"/>
  <c r="O257" i="2"/>
  <c r="J257" i="2"/>
  <c r="I257" i="2"/>
  <c r="P256" i="2"/>
  <c r="O256" i="2"/>
  <c r="I256" i="2"/>
  <c r="J256" i="2" s="1"/>
  <c r="P255" i="2"/>
  <c r="O255" i="2"/>
  <c r="M255" i="2"/>
  <c r="I255" i="2"/>
  <c r="J255" i="2" s="1"/>
  <c r="H255" i="2"/>
  <c r="F255" i="2"/>
  <c r="P254" i="2"/>
  <c r="O254" i="2"/>
  <c r="I254" i="2"/>
  <c r="J254" i="2" s="1"/>
  <c r="P253" i="2"/>
  <c r="O253" i="2"/>
  <c r="I253" i="2"/>
  <c r="P252" i="2"/>
  <c r="O252" i="2"/>
  <c r="K252" i="2"/>
  <c r="J252" i="2"/>
  <c r="I252" i="2"/>
  <c r="P251" i="2"/>
  <c r="O251" i="2"/>
  <c r="I251" i="2"/>
  <c r="J251" i="2" s="1"/>
  <c r="P250" i="2"/>
  <c r="O250" i="2"/>
  <c r="I250" i="2"/>
  <c r="J250" i="2" s="1"/>
  <c r="P249" i="2"/>
  <c r="O249" i="2"/>
  <c r="J249" i="2"/>
  <c r="I249" i="2"/>
  <c r="P248" i="2"/>
  <c r="O248" i="2"/>
  <c r="I248" i="2"/>
  <c r="J248" i="2" s="1"/>
  <c r="P247" i="2"/>
  <c r="O247" i="2"/>
  <c r="I247" i="2"/>
  <c r="J247" i="2" s="1"/>
  <c r="P246" i="2"/>
  <c r="O246" i="2"/>
  <c r="J246" i="2"/>
  <c r="I246" i="2"/>
  <c r="P245" i="2"/>
  <c r="O245" i="2"/>
  <c r="I245" i="2"/>
  <c r="J245" i="2" s="1"/>
  <c r="P244" i="2"/>
  <c r="O244" i="2"/>
  <c r="I244" i="2"/>
  <c r="J244" i="2" s="1"/>
  <c r="H229" i="2"/>
  <c r="G229" i="2"/>
  <c r="E229" i="2"/>
  <c r="J228" i="2"/>
  <c r="I228" i="2"/>
  <c r="H228" i="2"/>
  <c r="G228" i="2"/>
  <c r="E228" i="2"/>
  <c r="L227" i="2"/>
  <c r="M227" i="2" s="1"/>
  <c r="K227" i="2"/>
  <c r="J227" i="2"/>
  <c r="I227" i="2"/>
  <c r="H227" i="2"/>
  <c r="G227" i="2"/>
  <c r="E227" i="2"/>
  <c r="H226" i="2"/>
  <c r="G226" i="2"/>
  <c r="E226" i="2"/>
  <c r="H225" i="2"/>
  <c r="J225" i="2" s="1"/>
  <c r="G225" i="2"/>
  <c r="E225" i="2"/>
  <c r="J224" i="2"/>
  <c r="I224" i="2"/>
  <c r="H224" i="2"/>
  <c r="G224" i="2"/>
  <c r="E224" i="2"/>
  <c r="J223" i="2"/>
  <c r="L223" i="2" s="1"/>
  <c r="M223" i="2" s="1"/>
  <c r="I223" i="2"/>
  <c r="H223" i="2"/>
  <c r="G223" i="2"/>
  <c r="E223" i="2"/>
  <c r="H222" i="2"/>
  <c r="G222" i="2"/>
  <c r="E222" i="2"/>
  <c r="J221" i="2"/>
  <c r="I221" i="2"/>
  <c r="H221" i="2"/>
  <c r="G221" i="2"/>
  <c r="E221" i="2"/>
  <c r="J220" i="2"/>
  <c r="L220" i="2" s="1"/>
  <c r="M220" i="2" s="1"/>
  <c r="I220" i="2"/>
  <c r="H220" i="2"/>
  <c r="G220" i="2"/>
  <c r="E220" i="2"/>
  <c r="J219" i="2"/>
  <c r="L219" i="2" s="1"/>
  <c r="M219" i="2" s="1"/>
  <c r="I219" i="2"/>
  <c r="H219" i="2"/>
  <c r="G219" i="2"/>
  <c r="E219" i="2"/>
  <c r="L218" i="2"/>
  <c r="M218" i="2" s="1"/>
  <c r="K218" i="2"/>
  <c r="J218" i="2"/>
  <c r="I218" i="2"/>
  <c r="H218" i="2"/>
  <c r="G218" i="2"/>
  <c r="H217" i="2"/>
  <c r="I217" i="2" s="1"/>
  <c r="G217" i="2"/>
  <c r="E217" i="2"/>
  <c r="H216" i="2"/>
  <c r="J216" i="2" s="1"/>
  <c r="K216" i="2" s="1"/>
  <c r="G216" i="2"/>
  <c r="E216" i="2"/>
  <c r="J215" i="2"/>
  <c r="K215" i="2" s="1"/>
  <c r="I215" i="2"/>
  <c r="H215" i="2"/>
  <c r="G215" i="2"/>
  <c r="E215" i="2"/>
  <c r="L214" i="2"/>
  <c r="M214" i="2" s="1"/>
  <c r="K214" i="2"/>
  <c r="H214" i="2"/>
  <c r="J214" i="2" s="1"/>
  <c r="G214" i="2"/>
  <c r="E214" i="2"/>
  <c r="J213" i="2"/>
  <c r="H213" i="2"/>
  <c r="I213" i="2" s="1"/>
  <c r="G213" i="2"/>
  <c r="E213" i="2"/>
  <c r="L212" i="2"/>
  <c r="M212" i="2" s="1"/>
  <c r="K212" i="2"/>
  <c r="J212" i="2"/>
  <c r="I212" i="2"/>
  <c r="H212" i="2"/>
  <c r="G212" i="2"/>
  <c r="E212" i="2"/>
  <c r="J210" i="2"/>
  <c r="I210" i="2"/>
  <c r="G210" i="2"/>
  <c r="G211" i="2" s="1"/>
  <c r="E210" i="2"/>
  <c r="H209" i="2"/>
  <c r="I209" i="2" s="1"/>
  <c r="G209" i="2"/>
  <c r="E209" i="2"/>
  <c r="J208" i="2"/>
  <c r="H208" i="2"/>
  <c r="I208" i="2" s="1"/>
  <c r="G208" i="2"/>
  <c r="E208" i="2"/>
  <c r="H207" i="2"/>
  <c r="I207" i="2" s="1"/>
  <c r="G207" i="2"/>
  <c r="E207" i="2"/>
  <c r="H206" i="2"/>
  <c r="G206" i="2"/>
  <c r="E206" i="2"/>
  <c r="J205" i="2"/>
  <c r="H205" i="2"/>
  <c r="I205" i="2" s="1"/>
  <c r="G205" i="2"/>
  <c r="E205" i="2"/>
  <c r="J204" i="2"/>
  <c r="L204" i="2" s="1"/>
  <c r="M204" i="2" s="1"/>
  <c r="H204" i="2"/>
  <c r="I204" i="2" s="1"/>
  <c r="G204" i="2"/>
  <c r="E204" i="2"/>
  <c r="K203" i="2"/>
  <c r="J203" i="2"/>
  <c r="L203" i="2" s="1"/>
  <c r="M203" i="2" s="1"/>
  <c r="I203" i="2"/>
  <c r="H203" i="2"/>
  <c r="G203" i="2"/>
  <c r="E203" i="2"/>
  <c r="H202" i="2"/>
  <c r="G202" i="2"/>
  <c r="E202" i="2"/>
  <c r="J201" i="2"/>
  <c r="I201" i="2"/>
  <c r="H201" i="2"/>
  <c r="G201" i="2"/>
  <c r="E201" i="2"/>
  <c r="M186" i="2"/>
  <c r="N186" i="2" s="1"/>
  <c r="L186" i="2"/>
  <c r="J186" i="2"/>
  <c r="G186" i="2"/>
  <c r="H186" i="2" s="1"/>
  <c r="F186" i="2"/>
  <c r="M185" i="2"/>
  <c r="N185" i="2" s="1"/>
  <c r="L185" i="2"/>
  <c r="J185" i="2"/>
  <c r="H185" i="2"/>
  <c r="F185" i="2"/>
  <c r="G185" i="2" s="1"/>
  <c r="M184" i="2"/>
  <c r="N184" i="2" s="1"/>
  <c r="L184" i="2"/>
  <c r="J184" i="2"/>
  <c r="H184" i="2"/>
  <c r="G184" i="2"/>
  <c r="F184" i="2"/>
  <c r="M183" i="2"/>
  <c r="N183" i="2" s="1"/>
  <c r="L183" i="2"/>
  <c r="J183" i="2"/>
  <c r="H183" i="2"/>
  <c r="F183" i="2"/>
  <c r="G183" i="2" s="1"/>
  <c r="M182" i="2"/>
  <c r="N182" i="2" s="1"/>
  <c r="L182" i="2"/>
  <c r="J182" i="2"/>
  <c r="F182" i="2"/>
  <c r="G182" i="2" s="1"/>
  <c r="H182" i="2" s="1"/>
  <c r="F181" i="2"/>
  <c r="G181" i="2" s="1"/>
  <c r="I181" i="2" s="1"/>
  <c r="N180" i="2"/>
  <c r="M180" i="2"/>
  <c r="L180" i="2"/>
  <c r="J180" i="2"/>
  <c r="G180" i="2"/>
  <c r="H180" i="2" s="1"/>
  <c r="F180" i="2"/>
  <c r="N179" i="2"/>
  <c r="M179" i="2"/>
  <c r="L179" i="2"/>
  <c r="J179" i="2"/>
  <c r="G179" i="2"/>
  <c r="H179" i="2" s="1"/>
  <c r="F179" i="2"/>
  <c r="M178" i="2"/>
  <c r="N178" i="2" s="1"/>
  <c r="L178" i="2"/>
  <c r="J178" i="2"/>
  <c r="H178" i="2"/>
  <c r="G178" i="2"/>
  <c r="F178" i="2"/>
  <c r="M177" i="2"/>
  <c r="N177" i="2" s="1"/>
  <c r="L177" i="2"/>
  <c r="J177" i="2"/>
  <c r="F177" i="2"/>
  <c r="G177" i="2" s="1"/>
  <c r="H177" i="2" s="1"/>
  <c r="F176" i="2"/>
  <c r="G176" i="2" s="1"/>
  <c r="I176" i="2" s="1"/>
  <c r="K176" i="2" s="1"/>
  <c r="L176" i="2" s="1"/>
  <c r="F175" i="2"/>
  <c r="G175" i="2" s="1"/>
  <c r="M174" i="2"/>
  <c r="N174" i="2" s="1"/>
  <c r="L174" i="2"/>
  <c r="J174" i="2"/>
  <c r="N173" i="2"/>
  <c r="M173" i="2"/>
  <c r="L173" i="2"/>
  <c r="J173" i="2"/>
  <c r="M172" i="2"/>
  <c r="N172" i="2" s="1"/>
  <c r="L172" i="2"/>
  <c r="J172" i="2"/>
  <c r="F171" i="2"/>
  <c r="G171" i="2" s="1"/>
  <c r="F170" i="2"/>
  <c r="G170" i="2" s="1"/>
  <c r="I168" i="2"/>
  <c r="K168" i="2" s="1"/>
  <c r="H168" i="2"/>
  <c r="G168" i="2"/>
  <c r="F168" i="2"/>
  <c r="F167" i="2"/>
  <c r="G167" i="2" s="1"/>
  <c r="G166" i="2"/>
  <c r="F166" i="2"/>
  <c r="I165" i="2"/>
  <c r="J165" i="2" s="1"/>
  <c r="H165" i="2"/>
  <c r="F165" i="2"/>
  <c r="G165" i="2" s="1"/>
  <c r="F164" i="2"/>
  <c r="G164" i="2" s="1"/>
  <c r="G163" i="2"/>
  <c r="H163" i="2" s="1"/>
  <c r="F163" i="2"/>
  <c r="F162" i="2"/>
  <c r="G162" i="2" s="1"/>
  <c r="H162" i="2" s="1"/>
  <c r="F161" i="2"/>
  <c r="G161" i="2" s="1"/>
  <c r="M160" i="2"/>
  <c r="N160" i="2" s="1"/>
  <c r="I160" i="2"/>
  <c r="K160" i="2" s="1"/>
  <c r="L160" i="2" s="1"/>
  <c r="H160" i="2"/>
  <c r="G160" i="2"/>
  <c r="F160" i="2"/>
  <c r="G159" i="2"/>
  <c r="H159" i="2" s="1"/>
  <c r="F159" i="2"/>
  <c r="N145" i="2"/>
  <c r="O145" i="2" s="1"/>
  <c r="M145" i="2"/>
  <c r="K145" i="2"/>
  <c r="J145" i="2"/>
  <c r="I145" i="2"/>
  <c r="H145" i="2"/>
  <c r="N144" i="2"/>
  <c r="O144" i="2" s="1"/>
  <c r="M144" i="2"/>
  <c r="K144" i="2"/>
  <c r="J144" i="2"/>
  <c r="I144" i="2"/>
  <c r="H144" i="2"/>
  <c r="M143" i="2"/>
  <c r="N143" i="2" s="1"/>
  <c r="O143" i="2" s="1"/>
  <c r="K143" i="2"/>
  <c r="J143" i="2"/>
  <c r="I143" i="2"/>
  <c r="H143" i="2"/>
  <c r="M142" i="2"/>
  <c r="N142" i="2" s="1"/>
  <c r="O142" i="2" s="1"/>
  <c r="K142" i="2"/>
  <c r="J142" i="2"/>
  <c r="I142" i="2"/>
  <c r="H142" i="2"/>
  <c r="N141" i="2"/>
  <c r="M141" i="2"/>
  <c r="K141" i="2"/>
  <c r="J141" i="2"/>
  <c r="I141" i="2"/>
  <c r="H141" i="2"/>
  <c r="M140" i="2"/>
  <c r="N140" i="2" s="1"/>
  <c r="O140" i="2" s="1"/>
  <c r="K140" i="2"/>
  <c r="J140" i="2"/>
  <c r="I140" i="2"/>
  <c r="H140" i="2"/>
  <c r="N139" i="2"/>
  <c r="O139" i="2" s="1"/>
  <c r="M139" i="2"/>
  <c r="K139" i="2"/>
  <c r="J139" i="2"/>
  <c r="I139" i="2"/>
  <c r="H139" i="2"/>
  <c r="N138" i="2"/>
  <c r="O138" i="2" s="1"/>
  <c r="M138" i="2"/>
  <c r="K138" i="2"/>
  <c r="J138" i="2"/>
  <c r="I138" i="2"/>
  <c r="H138" i="2"/>
  <c r="N137" i="2"/>
  <c r="O137" i="2" s="1"/>
  <c r="M137" i="2"/>
  <c r="K137" i="2"/>
  <c r="J137" i="2"/>
  <c r="I137" i="2"/>
  <c r="H137" i="2"/>
  <c r="M136" i="2"/>
  <c r="N136" i="2" s="1"/>
  <c r="K136" i="2"/>
  <c r="J136" i="2"/>
  <c r="I136" i="2"/>
  <c r="H136" i="2"/>
  <c r="M135" i="2"/>
  <c r="N135" i="2" s="1"/>
  <c r="O135" i="2" s="1"/>
  <c r="K135" i="2"/>
  <c r="J135" i="2"/>
  <c r="I135" i="2"/>
  <c r="H135" i="2"/>
  <c r="M134" i="2"/>
  <c r="N134" i="2" s="1"/>
  <c r="K134" i="2"/>
  <c r="J134" i="2"/>
  <c r="O134" i="2" s="1"/>
  <c r="I134" i="2"/>
  <c r="H134" i="2"/>
  <c r="M133" i="2"/>
  <c r="N133" i="2" s="1"/>
  <c r="O133" i="2" s="1"/>
  <c r="K133" i="2"/>
  <c r="J133" i="2"/>
  <c r="I133" i="2"/>
  <c r="H133" i="2"/>
  <c r="M132" i="2"/>
  <c r="N132" i="2" s="1"/>
  <c r="O132" i="2" s="1"/>
  <c r="K132" i="2"/>
  <c r="J132" i="2"/>
  <c r="I132" i="2"/>
  <c r="H132" i="2"/>
  <c r="N131" i="2"/>
  <c r="O131" i="2" s="1"/>
  <c r="M131" i="2"/>
  <c r="K131" i="2"/>
  <c r="J131" i="2"/>
  <c r="I131" i="2"/>
  <c r="H131" i="2"/>
  <c r="N130" i="2"/>
  <c r="O130" i="2" s="1"/>
  <c r="M130" i="2"/>
  <c r="K130" i="2"/>
  <c r="J130" i="2"/>
  <c r="I130" i="2"/>
  <c r="H130" i="2"/>
  <c r="N129" i="2"/>
  <c r="M129" i="2"/>
  <c r="K129" i="2"/>
  <c r="J129" i="2"/>
  <c r="O129" i="2" s="1"/>
  <c r="I129" i="2"/>
  <c r="H129" i="2"/>
  <c r="M128" i="2"/>
  <c r="N128" i="2" s="1"/>
  <c r="O128" i="2" s="1"/>
  <c r="K128" i="2"/>
  <c r="J128" i="2"/>
  <c r="J111" i="2" s="1"/>
  <c r="I128" i="2"/>
  <c r="H128" i="2"/>
  <c r="M127" i="2"/>
  <c r="N127" i="2" s="1"/>
  <c r="O127" i="2" s="1"/>
  <c r="K127" i="2"/>
  <c r="J127" i="2"/>
  <c r="I127" i="2"/>
  <c r="I111" i="2" s="1"/>
  <c r="H127" i="2"/>
  <c r="N126" i="2"/>
  <c r="O126" i="2" s="1"/>
  <c r="M126" i="2"/>
  <c r="K126" i="2"/>
  <c r="J126" i="2"/>
  <c r="I126" i="2"/>
  <c r="H126" i="2"/>
  <c r="N125" i="2"/>
  <c r="O125" i="2" s="1"/>
  <c r="M125" i="2"/>
  <c r="K125" i="2"/>
  <c r="J125" i="2"/>
  <c r="I125" i="2"/>
  <c r="H125" i="2"/>
  <c r="N124" i="2"/>
  <c r="M124" i="2"/>
  <c r="K124" i="2"/>
  <c r="J124" i="2"/>
  <c r="I124" i="2"/>
  <c r="H124" i="2"/>
  <c r="N123" i="2"/>
  <c r="O123" i="2" s="1"/>
  <c r="M123" i="2"/>
  <c r="K123" i="2"/>
  <c r="J123" i="2"/>
  <c r="I123" i="2"/>
  <c r="H123" i="2"/>
  <c r="M122" i="2"/>
  <c r="N122" i="2" s="1"/>
  <c r="K122" i="2"/>
  <c r="J122" i="2"/>
  <c r="O122" i="2" s="1"/>
  <c r="I122" i="2"/>
  <c r="H122" i="2"/>
  <c r="M121" i="2"/>
  <c r="N121" i="2" s="1"/>
  <c r="O121" i="2" s="1"/>
  <c r="K121" i="2"/>
  <c r="J121" i="2"/>
  <c r="I121" i="2"/>
  <c r="H121" i="2"/>
  <c r="M120" i="2"/>
  <c r="N120" i="2" s="1"/>
  <c r="O120" i="2" s="1"/>
  <c r="K120" i="2"/>
  <c r="J120" i="2"/>
  <c r="I120" i="2"/>
  <c r="H120" i="2"/>
  <c r="M119" i="2"/>
  <c r="N119" i="2" s="1"/>
  <c r="O119" i="2" s="1"/>
  <c r="K119" i="2"/>
  <c r="J119" i="2"/>
  <c r="I119" i="2"/>
  <c r="H119" i="2"/>
  <c r="N118" i="2"/>
  <c r="O118" i="2" s="1"/>
  <c r="M118" i="2"/>
  <c r="K118" i="2"/>
  <c r="J118" i="2"/>
  <c r="I118" i="2"/>
  <c r="H118" i="2"/>
  <c r="N117" i="2"/>
  <c r="O117" i="2" s="1"/>
  <c r="M117" i="2"/>
  <c r="K117" i="2"/>
  <c r="J117" i="2"/>
  <c r="I117" i="2"/>
  <c r="H117" i="2"/>
  <c r="N116" i="2"/>
  <c r="M116" i="2"/>
  <c r="K116" i="2"/>
  <c r="J116" i="2"/>
  <c r="I116" i="2"/>
  <c r="H116" i="2"/>
  <c r="N115" i="2"/>
  <c r="M115" i="2"/>
  <c r="K115" i="2"/>
  <c r="J115" i="2"/>
  <c r="I115" i="2"/>
  <c r="H115" i="2"/>
  <c r="M114" i="2"/>
  <c r="N114" i="2" s="1"/>
  <c r="K114" i="2"/>
  <c r="J114" i="2"/>
  <c r="I114" i="2"/>
  <c r="H114" i="2"/>
  <c r="P101" i="2"/>
  <c r="Q101" i="2" s="1"/>
  <c r="F101" i="2"/>
  <c r="P100" i="2"/>
  <c r="Q100" i="2" s="1"/>
  <c r="F100" i="2"/>
  <c r="G100" i="2" s="1"/>
  <c r="O95" i="2"/>
  <c r="P94" i="2"/>
  <c r="P95" i="2" s="1"/>
  <c r="G94" i="2"/>
  <c r="G95" i="2" s="1"/>
  <c r="F94" i="2"/>
  <c r="F89" i="2"/>
  <c r="G89" i="2" s="1"/>
  <c r="J89" i="2" s="1"/>
  <c r="F88" i="2"/>
  <c r="G88" i="2" s="1"/>
  <c r="H88" i="2" s="1"/>
  <c r="I88" i="2" s="1"/>
  <c r="J87" i="2"/>
  <c r="I87" i="2"/>
  <c r="F86" i="2"/>
  <c r="G86" i="2" s="1"/>
  <c r="J86" i="2" s="1"/>
  <c r="G85" i="2"/>
  <c r="J85" i="2" s="1"/>
  <c r="F85" i="2"/>
  <c r="F84" i="2"/>
  <c r="G84" i="2" s="1"/>
  <c r="G83" i="2"/>
  <c r="J83" i="2" s="1"/>
  <c r="F83" i="2"/>
  <c r="F87" i="2" s="1"/>
  <c r="G87" i="2" s="1"/>
  <c r="H87" i="2" s="1"/>
  <c r="K87" i="2" s="1"/>
  <c r="F82" i="2"/>
  <c r="G82" i="2" s="1"/>
  <c r="H82" i="2" s="1"/>
  <c r="K82" i="2" s="1"/>
  <c r="F81" i="2"/>
  <c r="G81" i="2" s="1"/>
  <c r="F80" i="2"/>
  <c r="G80" i="2" s="1"/>
  <c r="H80" i="2" s="1"/>
  <c r="I80" i="2" s="1"/>
  <c r="M80" i="2" s="1"/>
  <c r="F79" i="2"/>
  <c r="G79" i="2" s="1"/>
  <c r="M78" i="2"/>
  <c r="F78" i="2"/>
  <c r="G78" i="2" s="1"/>
  <c r="H78" i="2" s="1"/>
  <c r="I78" i="2" s="1"/>
  <c r="L78" i="2" s="1"/>
  <c r="G77" i="2"/>
  <c r="H77" i="2" s="1"/>
  <c r="K77" i="2" s="1"/>
  <c r="F77" i="2"/>
  <c r="F76" i="2"/>
  <c r="G76" i="2" s="1"/>
  <c r="F75" i="2"/>
  <c r="G75" i="2" s="1"/>
  <c r="K74" i="2"/>
  <c r="F74" i="2"/>
  <c r="G74" i="2" s="1"/>
  <c r="H74" i="2" s="1"/>
  <c r="I74" i="2" s="1"/>
  <c r="F73" i="2"/>
  <c r="G73" i="2" s="1"/>
  <c r="M72" i="2"/>
  <c r="L72" i="2"/>
  <c r="K72" i="2"/>
  <c r="J72" i="2"/>
  <c r="F72" i="2"/>
  <c r="G72" i="2" s="1"/>
  <c r="H72" i="2" s="1"/>
  <c r="I72" i="2" s="1"/>
  <c r="J71" i="2"/>
  <c r="G71" i="2"/>
  <c r="H71" i="2" s="1"/>
  <c r="K71" i="2" s="1"/>
  <c r="F71" i="2"/>
  <c r="F68" i="2"/>
  <c r="G68" i="2" s="1"/>
  <c r="F67" i="2"/>
  <c r="G67" i="2" s="1"/>
  <c r="G66" i="2"/>
  <c r="J66" i="2" s="1"/>
  <c r="F66" i="2"/>
  <c r="F65" i="2"/>
  <c r="G65" i="2" s="1"/>
  <c r="F64" i="2"/>
  <c r="G64" i="2" s="1"/>
  <c r="F63" i="2"/>
  <c r="G63" i="2" s="1"/>
  <c r="F62" i="2"/>
  <c r="G62" i="2" s="1"/>
  <c r="F61" i="2"/>
  <c r="G61" i="2" s="1"/>
  <c r="G60" i="2"/>
  <c r="J60" i="2" s="1"/>
  <c r="F60" i="2"/>
  <c r="P58" i="2"/>
  <c r="M58" i="2"/>
  <c r="S37" i="2"/>
  <c r="R37" i="2"/>
  <c r="Q37" i="2"/>
  <c r="P37" i="2"/>
  <c r="L37" i="2"/>
  <c r="H37" i="2"/>
  <c r="S36" i="2"/>
  <c r="R36" i="2"/>
  <c r="Q36" i="2"/>
  <c r="P36" i="2"/>
  <c r="L36" i="2"/>
  <c r="H36" i="2"/>
  <c r="S35" i="2"/>
  <c r="R35" i="2"/>
  <c r="Q35" i="2"/>
  <c r="P35" i="2"/>
  <c r="L35" i="2"/>
  <c r="H35" i="2"/>
  <c r="S34" i="2"/>
  <c r="R34" i="2"/>
  <c r="Q34" i="2"/>
  <c r="P34" i="2"/>
  <c r="L34" i="2"/>
  <c r="H34" i="2"/>
  <c r="S33" i="2"/>
  <c r="R33" i="2"/>
  <c r="Q33" i="2"/>
  <c r="P33" i="2"/>
  <c r="L33" i="2"/>
  <c r="H33" i="2"/>
  <c r="S32" i="2"/>
  <c r="R32" i="2"/>
  <c r="Q32" i="2"/>
  <c r="P32" i="2"/>
  <c r="K32" i="2"/>
  <c r="L32" i="2" s="1"/>
  <c r="H32" i="2"/>
  <c r="S31" i="2"/>
  <c r="R31" i="2"/>
  <c r="Q31" i="2"/>
  <c r="P31" i="2"/>
  <c r="L31" i="2"/>
  <c r="H31" i="2"/>
  <c r="S30" i="2"/>
  <c r="R30" i="2"/>
  <c r="Q30" i="2"/>
  <c r="P30" i="2"/>
  <c r="L30" i="2"/>
  <c r="H30" i="2"/>
  <c r="S29" i="2"/>
  <c r="R29" i="2"/>
  <c r="Q29" i="2"/>
  <c r="P29" i="2"/>
  <c r="L29" i="2"/>
  <c r="H29" i="2"/>
  <c r="S28" i="2"/>
  <c r="R28" i="2"/>
  <c r="Q28" i="2"/>
  <c r="P28" i="2"/>
  <c r="L28" i="2"/>
  <c r="H28" i="2"/>
  <c r="S27" i="2"/>
  <c r="R27" i="2"/>
  <c r="Q27" i="2"/>
  <c r="P27" i="2"/>
  <c r="L27" i="2"/>
  <c r="J27" i="2"/>
  <c r="H27" i="2"/>
  <c r="S26" i="2"/>
  <c r="R26" i="2"/>
  <c r="Q26" i="2"/>
  <c r="P26" i="2"/>
  <c r="K26" i="2"/>
  <c r="L26" i="2" s="1"/>
  <c r="H26" i="2"/>
  <c r="S25" i="2"/>
  <c r="R25" i="2"/>
  <c r="Q25" i="2"/>
  <c r="L25" i="2"/>
  <c r="H25" i="2"/>
  <c r="S24" i="2"/>
  <c r="R24" i="2"/>
  <c r="Q24" i="2"/>
  <c r="L24" i="2"/>
  <c r="H24" i="2"/>
  <c r="S23" i="2"/>
  <c r="R23" i="2"/>
  <c r="Q23" i="2"/>
  <c r="J23" i="2"/>
  <c r="K23" i="2" s="1"/>
  <c r="L23" i="2" s="1"/>
  <c r="H23" i="2"/>
  <c r="S22" i="2"/>
  <c r="R22" i="2"/>
  <c r="Q22" i="2"/>
  <c r="P22" i="2"/>
  <c r="L22" i="2"/>
  <c r="H22" i="2"/>
  <c r="S21" i="2"/>
  <c r="R21" i="2"/>
  <c r="Q21" i="2"/>
  <c r="P21" i="2"/>
  <c r="L21" i="2"/>
  <c r="K21" i="2"/>
  <c r="H21" i="2"/>
  <c r="S20" i="2"/>
  <c r="R20" i="2"/>
  <c r="Q20" i="2"/>
  <c r="P20" i="2"/>
  <c r="K20" i="2"/>
  <c r="L20" i="2" s="1"/>
  <c r="J20" i="2"/>
  <c r="H20" i="2"/>
  <c r="S19" i="2"/>
  <c r="R19" i="2"/>
  <c r="Q19" i="2"/>
  <c r="P19" i="2"/>
  <c r="J19" i="2"/>
  <c r="K19" i="2" s="1"/>
  <c r="L19" i="2" s="1"/>
  <c r="H19" i="2"/>
  <c r="S18" i="2"/>
  <c r="R18" i="2"/>
  <c r="Q18" i="2"/>
  <c r="P18" i="2"/>
  <c r="K18" i="2"/>
  <c r="L18" i="2" s="1"/>
  <c r="H18" i="2"/>
  <c r="S17" i="2"/>
  <c r="R17" i="2"/>
  <c r="Q17" i="2"/>
  <c r="P17" i="2"/>
  <c r="K17" i="2"/>
  <c r="L17" i="2" s="1"/>
  <c r="H17" i="2"/>
  <c r="S16" i="2"/>
  <c r="R16" i="2"/>
  <c r="Q16" i="2"/>
  <c r="P16" i="2"/>
  <c r="L16" i="2"/>
  <c r="K16" i="2"/>
  <c r="H16" i="2"/>
  <c r="S15" i="2"/>
  <c r="R15" i="2"/>
  <c r="Q15" i="2"/>
  <c r="P15" i="2"/>
  <c r="L15" i="2"/>
  <c r="K15" i="2"/>
  <c r="H15" i="2"/>
  <c r="S14" i="2"/>
  <c r="R14" i="2"/>
  <c r="Q14" i="2"/>
  <c r="P14" i="2"/>
  <c r="K14" i="2"/>
  <c r="L14" i="2" s="1"/>
  <c r="H14" i="2"/>
  <c r="S13" i="2"/>
  <c r="R13" i="2"/>
  <c r="Q13" i="2"/>
  <c r="P13" i="2"/>
  <c r="K13" i="2"/>
  <c r="L13" i="2" s="1"/>
  <c r="H13" i="2"/>
  <c r="S12" i="2"/>
  <c r="R12" i="2"/>
  <c r="Q12" i="2"/>
  <c r="P12" i="2"/>
  <c r="L12" i="2"/>
  <c r="K12" i="2"/>
  <c r="H12" i="2"/>
  <c r="S11" i="2"/>
  <c r="R11" i="2"/>
  <c r="Q11" i="2"/>
  <c r="P11" i="2"/>
  <c r="L11" i="2"/>
  <c r="K11" i="2"/>
  <c r="H11" i="2"/>
  <c r="I2" i="2"/>
  <c r="J2" i="2" s="1"/>
  <c r="C2" i="2" s="1"/>
  <c r="H2" i="2"/>
  <c r="G2" i="2"/>
  <c r="F2" i="2"/>
  <c r="E2" i="2"/>
  <c r="J64" i="2" l="1"/>
  <c r="H64" i="2"/>
  <c r="H175" i="2"/>
  <c r="I175" i="2"/>
  <c r="P578" i="2"/>
  <c r="Q578" i="2" s="1"/>
  <c r="R578" i="2" s="1"/>
  <c r="S578" i="2" s="1"/>
  <c r="T578" i="2" s="1"/>
  <c r="Q581" i="2"/>
  <c r="J65" i="2"/>
  <c r="H65" i="2"/>
  <c r="H79" i="2"/>
  <c r="J79" i="2"/>
  <c r="L224" i="2"/>
  <c r="M224" i="2" s="1"/>
  <c r="K224" i="2"/>
  <c r="M168" i="2"/>
  <c r="N168" i="2" s="1"/>
  <c r="L168" i="2"/>
  <c r="J84" i="2"/>
  <c r="H84" i="2"/>
  <c r="I164" i="2"/>
  <c r="H164" i="2"/>
  <c r="K424" i="2"/>
  <c r="L424" i="2" s="1"/>
  <c r="K423" i="2"/>
  <c r="L423" i="2" s="1"/>
  <c r="K425" i="2"/>
  <c r="L425" i="2" s="1"/>
  <c r="H609" i="2"/>
  <c r="J607" i="2"/>
  <c r="J181" i="2"/>
  <c r="K181" i="2"/>
  <c r="Q293" i="2"/>
  <c r="N293" i="2"/>
  <c r="J206" i="2"/>
  <c r="I206" i="2"/>
  <c r="O78" i="2"/>
  <c r="P78" i="2" s="1"/>
  <c r="Q78" i="2" s="1"/>
  <c r="N78" i="2"/>
  <c r="R566" i="2"/>
  <c r="M566" i="2"/>
  <c r="O80" i="2"/>
  <c r="P80" i="2" s="1"/>
  <c r="Q80" i="2" s="1"/>
  <c r="N80" i="2"/>
  <c r="J67" i="2"/>
  <c r="H67" i="2"/>
  <c r="M74" i="2"/>
  <c r="L74" i="2"/>
  <c r="I222" i="2"/>
  <c r="J222" i="2"/>
  <c r="J645" i="2"/>
  <c r="H645" i="2"/>
  <c r="Q645" i="2" s="1"/>
  <c r="J62" i="2"/>
  <c r="H62" i="2"/>
  <c r="I82" i="2"/>
  <c r="J88" i="2"/>
  <c r="I211" i="2"/>
  <c r="H292" i="2"/>
  <c r="Q314" i="2"/>
  <c r="L397" i="2"/>
  <c r="J397" i="2"/>
  <c r="J82" i="2"/>
  <c r="K88" i="2"/>
  <c r="I167" i="2"/>
  <c r="H167" i="2"/>
  <c r="L210" i="2"/>
  <c r="K210" i="2"/>
  <c r="K256" i="2"/>
  <c r="L711" i="2"/>
  <c r="K711" i="2"/>
  <c r="J711" i="2"/>
  <c r="H60" i="2"/>
  <c r="H76" i="2"/>
  <c r="J76" i="2"/>
  <c r="K220" i="2"/>
  <c r="H287" i="2"/>
  <c r="K287" i="2"/>
  <c r="M176" i="2"/>
  <c r="N176" i="2" s="1"/>
  <c r="H181" i="2"/>
  <c r="K300" i="2"/>
  <c r="Q309" i="2"/>
  <c r="J80" i="2"/>
  <c r="H166" i="2"/>
  <c r="I166" i="2"/>
  <c r="H170" i="2"/>
  <c r="I170" i="2"/>
  <c r="K431" i="2"/>
  <c r="L431" i="2" s="1"/>
  <c r="K426" i="2"/>
  <c r="L426" i="2" s="1"/>
  <c r="K428" i="2"/>
  <c r="L428" i="2" s="1"/>
  <c r="K429" i="2"/>
  <c r="L429" i="2" s="1"/>
  <c r="K427" i="2"/>
  <c r="L427" i="2" s="1"/>
  <c r="R569" i="2"/>
  <c r="M569" i="2"/>
  <c r="H75" i="2"/>
  <c r="J75" i="2"/>
  <c r="H81" i="2"/>
  <c r="J81" i="2"/>
  <c r="M87" i="2"/>
  <c r="L87" i="2"/>
  <c r="Q94" i="2"/>
  <c r="Q95" i="2" s="1"/>
  <c r="H295" i="2"/>
  <c r="K430" i="2"/>
  <c r="L430" i="2" s="1"/>
  <c r="M88" i="2"/>
  <c r="L88" i="2"/>
  <c r="H85" i="2"/>
  <c r="L201" i="2"/>
  <c r="M201" i="2" s="1"/>
  <c r="K201" i="2"/>
  <c r="N290" i="2"/>
  <c r="I426" i="2"/>
  <c r="L705" i="2"/>
  <c r="K705" i="2"/>
  <c r="J705" i="2"/>
  <c r="J708" i="2"/>
  <c r="O72" i="2"/>
  <c r="P72" i="2" s="1"/>
  <c r="Q72" i="2" s="1"/>
  <c r="N72" i="2"/>
  <c r="K313" i="2"/>
  <c r="H313" i="2"/>
  <c r="I397" i="2"/>
  <c r="K708" i="2"/>
  <c r="R567" i="2"/>
  <c r="M567" i="2"/>
  <c r="H73" i="2"/>
  <c r="J73" i="2"/>
  <c r="I161" i="2"/>
  <c r="H161" i="2"/>
  <c r="I216" i="2"/>
  <c r="R568" i="2"/>
  <c r="M568" i="2"/>
  <c r="J68" i="2"/>
  <c r="H68" i="2"/>
  <c r="I77" i="2"/>
  <c r="K80" i="2"/>
  <c r="L216" i="2"/>
  <c r="M216" i="2" s="1"/>
  <c r="J226" i="2"/>
  <c r="I226" i="2"/>
  <c r="K422" i="2"/>
  <c r="L422" i="2" s="1"/>
  <c r="J61" i="2"/>
  <c r="H61" i="2"/>
  <c r="J63" i="2"/>
  <c r="H63" i="2"/>
  <c r="J77" i="2"/>
  <c r="L80" i="2"/>
  <c r="J168" i="2"/>
  <c r="L205" i="2"/>
  <c r="M205" i="2" s="1"/>
  <c r="K205" i="2"/>
  <c r="L208" i="2"/>
  <c r="M208" i="2" s="1"/>
  <c r="K208" i="2"/>
  <c r="Q296" i="2"/>
  <c r="N296" i="2"/>
  <c r="H66" i="2"/>
  <c r="I71" i="2"/>
  <c r="J74" i="2"/>
  <c r="O114" i="2"/>
  <c r="O116" i="2"/>
  <c r="O141" i="2"/>
  <c r="I162" i="2"/>
  <c r="L228" i="2"/>
  <c r="M228" i="2" s="1"/>
  <c r="K228" i="2"/>
  <c r="F69" i="2"/>
  <c r="I202" i="2"/>
  <c r="J202" i="2"/>
  <c r="Q298" i="2"/>
  <c r="H310" i="2"/>
  <c r="I427" i="2"/>
  <c r="I429" i="2"/>
  <c r="J707" i="2"/>
  <c r="L707" i="2"/>
  <c r="H89" i="2"/>
  <c r="O124" i="2"/>
  <c r="J160" i="2"/>
  <c r="J217" i="2"/>
  <c r="J229" i="2"/>
  <c r="I229" i="2"/>
  <c r="N300" i="2"/>
  <c r="I399" i="2"/>
  <c r="L399" i="2"/>
  <c r="J399" i="2"/>
  <c r="H403" i="2"/>
  <c r="K707" i="2"/>
  <c r="K713" i="2"/>
  <c r="L713" i="2"/>
  <c r="L225" i="2"/>
  <c r="M225" i="2" s="1"/>
  <c r="K225" i="2"/>
  <c r="H396" i="2"/>
  <c r="M396" i="2"/>
  <c r="K204" i="2"/>
  <c r="J78" i="2"/>
  <c r="H86" i="2"/>
  <c r="K165" i="2"/>
  <c r="J176" i="2"/>
  <c r="L221" i="2"/>
  <c r="M221" i="2" s="1"/>
  <c r="K221" i="2"/>
  <c r="K223" i="2"/>
  <c r="K78" i="2"/>
  <c r="I163" i="2"/>
  <c r="J207" i="2"/>
  <c r="J209" i="2"/>
  <c r="J253" i="2"/>
  <c r="K253" i="2"/>
  <c r="H402" i="2"/>
  <c r="M644" i="2"/>
  <c r="N644" i="2" s="1"/>
  <c r="S644" i="2" s="1"/>
  <c r="K644" i="2"/>
  <c r="R644" i="2" s="1"/>
  <c r="F680" i="2"/>
  <c r="Q290" i="2"/>
  <c r="K295" i="2"/>
  <c r="H305" i="2"/>
  <c r="K305" i="2"/>
  <c r="J401" i="2"/>
  <c r="I401" i="2"/>
  <c r="K213" i="2"/>
  <c r="L213" i="2"/>
  <c r="M213" i="2" s="1"/>
  <c r="H176" i="2"/>
  <c r="L215" i="2"/>
  <c r="M215" i="2" s="1"/>
  <c r="I225" i="2"/>
  <c r="I423" i="2"/>
  <c r="F684" i="2"/>
  <c r="G684" i="2" s="1"/>
  <c r="J710" i="2"/>
  <c r="L710" i="2"/>
  <c r="K710" i="2"/>
  <c r="I159" i="2"/>
  <c r="K219" i="2"/>
  <c r="M570" i="2"/>
  <c r="R570" i="2"/>
  <c r="K646" i="2"/>
  <c r="H83" i="2"/>
  <c r="H171" i="2"/>
  <c r="I171" i="2"/>
  <c r="H288" i="2"/>
  <c r="K299" i="2"/>
  <c r="H398" i="2"/>
  <c r="M398" i="2"/>
  <c r="I214" i="2"/>
  <c r="N310" i="2"/>
  <c r="Q310" i="2"/>
  <c r="F681" i="2"/>
  <c r="G681" i="2" s="1"/>
  <c r="K111" i="2"/>
  <c r="H309" i="2"/>
  <c r="J647" i="2"/>
  <c r="H647" i="2"/>
  <c r="Q647" i="2" s="1"/>
  <c r="Q303" i="2"/>
  <c r="K311" i="2"/>
  <c r="O136" i="2"/>
  <c r="Q289" i="2"/>
  <c r="H302" i="2"/>
  <c r="H400" i="2"/>
  <c r="N306" i="2"/>
  <c r="L714" i="2"/>
  <c r="K714" i="2"/>
  <c r="J714" i="2"/>
  <c r="O115" i="2"/>
  <c r="K302" i="2"/>
  <c r="I428" i="2"/>
  <c r="I83" i="2" l="1"/>
  <c r="K83" i="2"/>
  <c r="K63" i="2"/>
  <c r="I63" i="2"/>
  <c r="N570" i="2"/>
  <c r="S570" i="2"/>
  <c r="I61" i="2"/>
  <c r="K61" i="2"/>
  <c r="K62" i="2"/>
  <c r="I62" i="2"/>
  <c r="S566" i="2"/>
  <c r="N566" i="2"/>
  <c r="K79" i="2"/>
  <c r="I79" i="2"/>
  <c r="L400" i="2"/>
  <c r="I400" i="2"/>
  <c r="J400" i="2"/>
  <c r="L209" i="2"/>
  <c r="M209" i="2" s="1"/>
  <c r="K209" i="2"/>
  <c r="L202" i="2"/>
  <c r="M202" i="2" s="1"/>
  <c r="K202" i="2"/>
  <c r="K65" i="2"/>
  <c r="I65" i="2"/>
  <c r="K159" i="2"/>
  <c r="J159" i="2"/>
  <c r="L207" i="2"/>
  <c r="M207" i="2" s="1"/>
  <c r="K207" i="2"/>
  <c r="I396" i="2"/>
  <c r="J396" i="2"/>
  <c r="L396" i="2"/>
  <c r="K229" i="2"/>
  <c r="L229" i="2"/>
  <c r="M229" i="2" s="1"/>
  <c r="K161" i="2"/>
  <c r="J161" i="2"/>
  <c r="K167" i="2"/>
  <c r="J167" i="2"/>
  <c r="K163" i="2"/>
  <c r="J163" i="2"/>
  <c r="K217" i="2"/>
  <c r="L217" i="2"/>
  <c r="M217" i="2" s="1"/>
  <c r="G69" i="2"/>
  <c r="F70" i="2"/>
  <c r="G70" i="2" s="1"/>
  <c r="M645" i="2"/>
  <c r="N645" i="2" s="1"/>
  <c r="K645" i="2"/>
  <c r="R645" i="2" s="1"/>
  <c r="M165" i="2"/>
  <c r="N165" i="2" s="1"/>
  <c r="L165" i="2"/>
  <c r="K85" i="2"/>
  <c r="I85" i="2"/>
  <c r="S569" i="2"/>
  <c r="N569" i="2"/>
  <c r="R646" i="2"/>
  <c r="S646" i="2"/>
  <c r="I402" i="2"/>
  <c r="L402" i="2"/>
  <c r="J402" i="2"/>
  <c r="I86" i="2"/>
  <c r="K86" i="2"/>
  <c r="N568" i="2"/>
  <c r="S568" i="2"/>
  <c r="L71" i="2"/>
  <c r="M71" i="2"/>
  <c r="O88" i="2"/>
  <c r="P88" i="2" s="1"/>
  <c r="Q88" i="2" s="1"/>
  <c r="N88" i="2"/>
  <c r="M211" i="2"/>
  <c r="K211" i="2"/>
  <c r="M82" i="2"/>
  <c r="L82" i="2"/>
  <c r="K66" i="2"/>
  <c r="I66" i="2"/>
  <c r="L398" i="2"/>
  <c r="I398" i="2"/>
  <c r="J398" i="2"/>
  <c r="K226" i="2"/>
  <c r="L226" i="2"/>
  <c r="M226" i="2" s="1"/>
  <c r="I73" i="2"/>
  <c r="K73" i="2"/>
  <c r="N87" i="2"/>
  <c r="O87" i="2"/>
  <c r="P87" i="2" s="1"/>
  <c r="Q87" i="2" s="1"/>
  <c r="J170" i="2"/>
  <c r="K170" i="2"/>
  <c r="L222" i="2"/>
  <c r="M222" i="2" s="1"/>
  <c r="K222" i="2"/>
  <c r="J164" i="2"/>
  <c r="K164" i="2"/>
  <c r="S567" i="2"/>
  <c r="N567" i="2"/>
  <c r="I76" i="2"/>
  <c r="K76" i="2"/>
  <c r="K206" i="2"/>
  <c r="L206" i="2"/>
  <c r="M206" i="2" s="1"/>
  <c r="K84" i="2"/>
  <c r="I84" i="2"/>
  <c r="K175" i="2"/>
  <c r="J175" i="2"/>
  <c r="I89" i="2"/>
  <c r="K89" i="2"/>
  <c r="K162" i="2"/>
  <c r="J162" i="2"/>
  <c r="K81" i="2"/>
  <c r="I81" i="2"/>
  <c r="K166" i="2"/>
  <c r="J166" i="2"/>
  <c r="I60" i="2"/>
  <c r="K60" i="2"/>
  <c r="K58" i="2" s="1"/>
  <c r="J171" i="2"/>
  <c r="K171" i="2"/>
  <c r="G680" i="2"/>
  <c r="I678" i="2"/>
  <c r="L77" i="2"/>
  <c r="M77" i="2"/>
  <c r="O74" i="2"/>
  <c r="P74" i="2" s="1"/>
  <c r="Q74" i="2" s="1"/>
  <c r="N74" i="2"/>
  <c r="K64" i="2"/>
  <c r="I64" i="2"/>
  <c r="M647" i="2"/>
  <c r="N647" i="2" s="1"/>
  <c r="K647" i="2"/>
  <c r="R647" i="2" s="1"/>
  <c r="I403" i="2"/>
  <c r="J403" i="2"/>
  <c r="L403" i="2"/>
  <c r="K68" i="2"/>
  <c r="I68" i="2"/>
  <c r="K75" i="2"/>
  <c r="I75" i="2"/>
  <c r="K67" i="2"/>
  <c r="I67" i="2"/>
  <c r="M181" i="2"/>
  <c r="N181" i="2" s="1"/>
  <c r="L181" i="2"/>
  <c r="L159" i="2" l="1"/>
  <c r="M159" i="2"/>
  <c r="N159" i="2" s="1"/>
  <c r="M167" i="2"/>
  <c r="N167" i="2" s="1"/>
  <c r="L167" i="2"/>
  <c r="M175" i="2"/>
  <c r="N175" i="2" s="1"/>
  <c r="L175" i="2"/>
  <c r="M84" i="2"/>
  <c r="L84" i="2"/>
  <c r="S647" i="2"/>
  <c r="S645" i="2"/>
  <c r="L61" i="2"/>
  <c r="M61" i="2"/>
  <c r="M64" i="2"/>
  <c r="L64" i="2"/>
  <c r="O82" i="2"/>
  <c r="P82" i="2" s="1"/>
  <c r="Q82" i="2" s="1"/>
  <c r="N82" i="2"/>
  <c r="H70" i="2"/>
  <c r="J70" i="2"/>
  <c r="O566" i="2"/>
  <c r="U566" i="2" s="1"/>
  <c r="T566" i="2"/>
  <c r="M89" i="2"/>
  <c r="L89" i="2"/>
  <c r="L171" i="2"/>
  <c r="M171" i="2"/>
  <c r="N171" i="2" s="1"/>
  <c r="O568" i="2"/>
  <c r="U568" i="2" s="1"/>
  <c r="T568" i="2"/>
  <c r="M62" i="2"/>
  <c r="L62" i="2"/>
  <c r="M66" i="2"/>
  <c r="L66" i="2"/>
  <c r="M161" i="2"/>
  <c r="N161" i="2" s="1"/>
  <c r="L161" i="2"/>
  <c r="M170" i="2"/>
  <c r="N170" i="2" s="1"/>
  <c r="L170" i="2"/>
  <c r="M86" i="2"/>
  <c r="L86" i="2"/>
  <c r="M60" i="2"/>
  <c r="L60" i="2"/>
  <c r="L58" i="2" s="1"/>
  <c r="M67" i="2"/>
  <c r="L67" i="2"/>
  <c r="M166" i="2"/>
  <c r="N166" i="2" s="1"/>
  <c r="L166" i="2"/>
  <c r="J69" i="2"/>
  <c r="H69" i="2"/>
  <c r="T570" i="2"/>
  <c r="O570" i="2"/>
  <c r="U570" i="2" s="1"/>
  <c r="M63" i="2"/>
  <c r="L63" i="2"/>
  <c r="M75" i="2"/>
  <c r="L75" i="2"/>
  <c r="M76" i="2"/>
  <c r="L76" i="2"/>
  <c r="L73" i="2"/>
  <c r="M73" i="2"/>
  <c r="O77" i="2"/>
  <c r="P77" i="2" s="1"/>
  <c r="Q77" i="2" s="1"/>
  <c r="N77" i="2"/>
  <c r="T567" i="2"/>
  <c r="O567" i="2"/>
  <c r="U567" i="2" s="1"/>
  <c r="T569" i="2"/>
  <c r="O569" i="2"/>
  <c r="U569" i="2" s="1"/>
  <c r="M79" i="2"/>
  <c r="L79" i="2"/>
  <c r="M164" i="2"/>
  <c r="N164" i="2" s="1"/>
  <c r="L164" i="2"/>
  <c r="M85" i="2"/>
  <c r="L85" i="2"/>
  <c r="M65" i="2"/>
  <c r="L65" i="2"/>
  <c r="L81" i="2"/>
  <c r="M81" i="2"/>
  <c r="M68" i="2"/>
  <c r="L68" i="2"/>
  <c r="M162" i="2"/>
  <c r="N162" i="2" s="1"/>
  <c r="L162" i="2"/>
  <c r="O71" i="2"/>
  <c r="P71" i="2" s="1"/>
  <c r="Q71" i="2" s="1"/>
  <c r="N71" i="2"/>
  <c r="L163" i="2"/>
  <c r="M163" i="2"/>
  <c r="N163" i="2" s="1"/>
  <c r="M83" i="2"/>
  <c r="L83" i="2"/>
  <c r="K70" i="2" l="1"/>
  <c r="I70" i="2"/>
  <c r="O61" i="2"/>
  <c r="P61" i="2" s="1"/>
  <c r="Q61" i="2" s="1"/>
  <c r="N61" i="2"/>
  <c r="O68" i="2"/>
  <c r="P68" i="2" s="1"/>
  <c r="Q68" i="2" s="1"/>
  <c r="N68" i="2"/>
  <c r="N63" i="2"/>
  <c r="O63" i="2"/>
  <c r="P63" i="2" s="1"/>
  <c r="Q63" i="2" s="1"/>
  <c r="O86" i="2"/>
  <c r="P86" i="2" s="1"/>
  <c r="Q86" i="2" s="1"/>
  <c r="N86" i="2"/>
  <c r="O89" i="2"/>
  <c r="P89" i="2" s="1"/>
  <c r="Q89" i="2" s="1"/>
  <c r="N89" i="2"/>
  <c r="K69" i="2"/>
  <c r="I69" i="2"/>
  <c r="O83" i="2"/>
  <c r="P83" i="2" s="1"/>
  <c r="Q83" i="2" s="1"/>
  <c r="N83" i="2"/>
  <c r="N65" i="2"/>
  <c r="O65" i="2"/>
  <c r="P65" i="2" s="1"/>
  <c r="Q65" i="2" s="1"/>
  <c r="O84" i="2"/>
  <c r="P84" i="2" s="1"/>
  <c r="Q84" i="2" s="1"/>
  <c r="N84" i="2"/>
  <c r="O73" i="2"/>
  <c r="P73" i="2" s="1"/>
  <c r="Q73" i="2" s="1"/>
  <c r="N73" i="2"/>
  <c r="O81" i="2"/>
  <c r="P81" i="2" s="1"/>
  <c r="Q81" i="2" s="1"/>
  <c r="N81" i="2"/>
  <c r="O85" i="2"/>
  <c r="P85" i="2" s="1"/>
  <c r="Q85" i="2" s="1"/>
  <c r="N85" i="2"/>
  <c r="O66" i="2"/>
  <c r="P66" i="2" s="1"/>
  <c r="Q66" i="2" s="1"/>
  <c r="N66" i="2"/>
  <c r="O76" i="2"/>
  <c r="P76" i="2" s="1"/>
  <c r="Q76" i="2" s="1"/>
  <c r="N76" i="2"/>
  <c r="O67" i="2"/>
  <c r="P67" i="2" s="1"/>
  <c r="Q67" i="2" s="1"/>
  <c r="N67" i="2"/>
  <c r="N62" i="2"/>
  <c r="O62" i="2"/>
  <c r="P62" i="2" s="1"/>
  <c r="Q62" i="2" s="1"/>
  <c r="O79" i="2"/>
  <c r="P79" i="2" s="1"/>
  <c r="Q79" i="2" s="1"/>
  <c r="N79" i="2"/>
  <c r="O75" i="2"/>
  <c r="P75" i="2" s="1"/>
  <c r="Q75" i="2" s="1"/>
  <c r="N75" i="2"/>
  <c r="O60" i="2"/>
  <c r="P60" i="2" s="1"/>
  <c r="Q60" i="2" s="1"/>
  <c r="N60" i="2"/>
  <c r="O64" i="2"/>
  <c r="P64" i="2" s="1"/>
  <c r="Q64" i="2" s="1"/>
  <c r="N64" i="2"/>
  <c r="M69" i="2" l="1"/>
  <c r="L69" i="2"/>
  <c r="M70" i="2"/>
  <c r="L70" i="2"/>
  <c r="O70" i="2" l="1"/>
  <c r="P70" i="2" s="1"/>
  <c r="Q70" i="2" s="1"/>
  <c r="N70" i="2"/>
  <c r="O69" i="2"/>
  <c r="P69" i="2" s="1"/>
  <c r="Q69" i="2" s="1"/>
  <c r="N6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72" authorId="0" shapeId="0" xr:uid="{FAEB0E88-1B53-4455-9C24-6F876C0C6E86}">
      <text>
        <r>
          <rPr>
            <sz val="9"/>
            <color indexed="81"/>
            <rFont val="Tahoma"/>
            <family val="2"/>
          </rPr>
          <t xml:space="preserve">Es quien, reuniendo la formación específica y especializada correspondiente, ejerce funciones de planificación, gestión y evaluación en programas interculturales, facilitando la comunicación entre culturas diferentes, siempre dentro de programas socioculturales.
</t>
        </r>
      </text>
    </comment>
    <comment ref="C74" authorId="0" shapeId="0" xr:uid="{14D64C8D-0278-4BC3-B2C6-EC78F11AB7CA}">
      <text>
        <r>
          <rPr>
            <sz val="9"/>
            <color indexed="81"/>
            <rFont val="Tahoma"/>
            <family val="2"/>
          </rPr>
          <t>Es quien, estando en posesión de la titulación requerida y/o experiencia acreditada, realiza actividades de control y vigilancia de los recursos de los espacios naturales, así como de información, divulgación y dinamización de los programas desarrollados en dichos espacios.</t>
        </r>
      </text>
    </comment>
    <comment ref="C76" authorId="0" shapeId="0" xr:uid="{2E7C2950-008D-461F-BF70-6373CD69AE4C}">
      <text>
        <r>
          <rPr>
            <sz val="9"/>
            <color indexed="81"/>
            <rFont val="Tahoma"/>
            <family val="2"/>
          </rPr>
          <t>Es quien, estando en posesión de la titulación requerida, realiza actividades de divulgación e información sociocultural (de centros cívicos, eventos socioculturales y cualquier otra especialidad asimilada).</t>
        </r>
      </text>
    </comment>
    <comment ref="C82" authorId="0" shapeId="0" xr:uid="{D8880882-3EB6-4CF8-B6F8-EDC1F9AAB9F2}">
      <text>
        <r>
          <rPr>
            <sz val="9"/>
            <color indexed="81"/>
            <rFont val="Tahoma"/>
            <family val="2"/>
          </rPr>
          <t>Es quien, durante su jornada de trabajo atiende, preferentemente la centralita y cuestiones burocráticas o de recepción.</t>
        </r>
      </text>
    </comment>
    <comment ref="C89" authorId="0" shapeId="0" xr:uid="{1FFA284E-EFC6-43F1-91CE-4C13E4F40106}">
      <text>
        <r>
          <rPr>
            <sz val="9"/>
            <color indexed="81"/>
            <rFont val="Tahoma"/>
            <family val="2"/>
          </rPr>
          <t>Es quién distribuye, reproduce y transmite la información y documentación requeridas en las tareas administrativas y de gestión, internas y externas, así como realizar trámites elementales de verificación de datos y documentos a requerimiento de técnicos de nivel superior con eficacia, de acuerdo con instrucciones o procedimientos establecidos.
Esta categoría incluiría entre otros, el puesto de Portero/a, Conserje, Celador/a, Taquillero/a y Controlador/a de Salas.</t>
        </r>
      </text>
    </comment>
    <comment ref="B96" authorId="0" shapeId="0" xr:uid="{E80E74F9-65BF-4E33-98C0-42173C2FDA47}">
      <text>
        <r>
          <rPr>
            <sz val="9"/>
            <color indexed="81"/>
            <rFont val="Tahoma"/>
            <family val="2"/>
          </rPr>
          <t>Los trabajadores o trabajadoras que ejerzan responsabilidades o cargos de responsabilidad de índole funcional, que no tengan carácter consolidable, durante el tiempo efectivo de actividad en el puesto que tenga asignada la función, recibirán un complemento económico de función o responsabilidad. Este complemento será el equivalente a la diferencia económica entre su categoría y la categoría correspondiente a las funciones que realmente desempeñe.
En el caso de no desempeñar funciones de una categoría superior, teniendo sólo una responsabilidad mayor de la que se ha venido teniendo habitualmente, el complemento será el equivalente a la cuantía económica entre su categoría habitual (reconocida en nómina) y la categoría económica inmediatamente superior.</t>
        </r>
      </text>
    </comment>
    <comment ref="E242" authorId="0" shapeId="0" xr:uid="{08181F0B-3E12-4537-87C6-0B49AE0C9B78}">
      <text>
        <r>
          <rPr>
            <sz val="9"/>
            <color indexed="81"/>
            <rFont val="Tahoma"/>
            <family val="2"/>
          </rPr>
          <t>Las tablas 1 y 2, se aplicarán a los salarios de las personas trabajadoras que presten servicios en actividades, programas, actuaciones y demás acciones contempladas en los ámbitos del convenio no incluidos en el párrafo anterior. En este caso, se aplicarán las tablas 1 para aquellos contratos o sus prórrogas iniciados antes del 22 de marzo de 2021. Y las tablas 2, solo para aquellos contratos o sus prorrogas iniciados con posterioridad a esta fecha, pero anterior a la publicación de este convenio, siendo los efectos económicos de las tablas los indicados en las mismas: desde el momento de la vigencia del convenio hasta octubre de 2022, fecha en la que convergen todos los salarios en las tablas 3 y 4 según los períodos indicados.</t>
        </r>
      </text>
    </comment>
    <comment ref="G242" authorId="0" shapeId="0" xr:uid="{4EB0422E-C9E3-4A75-9A44-E8B048970900}">
      <text>
        <r>
          <rPr>
            <sz val="9"/>
            <color indexed="81"/>
            <rFont val="Tahoma"/>
            <family val="2"/>
          </rPr>
          <t>Las tablas 3 y 4, se aplicarán a los salarios de las personas trabajadoras que presten servicios en todos aquellos recursos, programas o servicios de contratación pública, realizada bajo cualquiera de las modalidades previstas en el ordenamiento jurídico vigente (subvención, contrato, concierto, convenio, acuerdo marco u otras fórmulas legales), cuyo inicio del expediente de contratación se haya iniciado con posterioridad a la publicación del convenio en el Boletín Oficial de la Junta de Andalucía, aunque su fecha de efectos económicos solo tendrá lugar desde la fecha en que se inicie la ejecución de los nuevos contratos o subvenciones derivados de los indicados procedimientos de licitación o contratación. Las tablas de este apartado 3 y 4 no son aplicables a prórrogas de contratos o de servicios anteriores a la publicación del presente convenio que no contemplen en sus pliegos la revisión de precios como consecuencia de actualizaciones de convenio.</t>
        </r>
      </text>
    </comment>
    <comment ref="D243" authorId="0" shapeId="0" xr:uid="{9310A1AF-6A2B-47AF-BD32-B3CD01D88A98}">
      <text>
        <r>
          <rPr>
            <b/>
            <sz val="9"/>
            <color indexed="81"/>
            <rFont val="Tahoma"/>
            <family val="2"/>
          </rPr>
          <t>contratos o sus prórrogas
iniciados antes del 22/03/21</t>
        </r>
      </text>
    </comment>
    <comment ref="E243" authorId="0" shapeId="0" xr:uid="{901FCDFB-1D8C-4B36-B64C-332A23B8172E}">
      <text>
        <r>
          <rPr>
            <b/>
            <sz val="9"/>
            <color indexed="81"/>
            <rFont val="Tahoma"/>
            <family val="2"/>
          </rPr>
          <t>contratos o
sus prorrogas iniciados con posterioridad a 22/03/21, pero anterior a la publicación de
este convenio 18/05/22</t>
        </r>
      </text>
    </comment>
  </commentList>
</comments>
</file>

<file path=xl/sharedStrings.xml><?xml version="1.0" encoding="utf-8"?>
<sst xmlns="http://schemas.openxmlformats.org/spreadsheetml/2006/main" count="897" uniqueCount="570">
  <si>
    <t>NUEVO SMI 2025</t>
  </si>
  <si>
    <t>SMI:</t>
  </si>
  <si>
    <t>COEAS Estatal (actualizado III)</t>
  </si>
  <si>
    <t>Ámbito temporal: (desde publicación) vigencia del 01/10/2020 al 31/12/2023</t>
  </si>
  <si>
    <t>hs/año:</t>
  </si>
  <si>
    <t>hs/sem:</t>
  </si>
  <si>
    <t>contratos con expediente iniciado posterior a publicación en BOE</t>
  </si>
  <si>
    <t>histórico de subidas</t>
  </si>
  <si>
    <t>GRUPO</t>
  </si>
  <si>
    <t>CATEGORÍA</t>
  </si>
  <si>
    <t>COEAS II (2016)</t>
  </si>
  <si>
    <t>01/10/20 - 01/10/21</t>
  </si>
  <si>
    <t>01/10/21 - 01/10/22</t>
  </si>
  <si>
    <t>01/10/22 - 01/10/23</t>
  </si>
  <si>
    <t>01/01/2023 (nuevo SMI)</t>
  </si>
  <si>
    <t>01/10/23 en adelante</t>
  </si>
  <si>
    <t>con Complemento Dedicación</t>
  </si>
  <si>
    <t>salario desde 01/01/2024 (nuevo SMI)</t>
  </si>
  <si>
    <r>
      <t>€/h (</t>
    </r>
    <r>
      <rPr>
        <sz val="11"/>
        <color rgb="FFFF0000"/>
        <rFont val="Aptos Narrow"/>
        <family val="2"/>
        <scheme val="minor"/>
      </rPr>
      <t>actual</t>
    </r>
    <r>
      <rPr>
        <sz val="11"/>
        <rFont val="Aptos Narrow"/>
        <family val="2"/>
        <scheme val="minor"/>
      </rPr>
      <t>)</t>
    </r>
  </si>
  <si>
    <t>Complemento dedicación</t>
  </si>
  <si>
    <t>01/10/23 - 31/12/23</t>
  </si>
  <si>
    <t>Grupo I: personal directivo</t>
  </si>
  <si>
    <t>Director/a gerente</t>
  </si>
  <si>
    <t>Grupo II: personal directivo y de gestión</t>
  </si>
  <si>
    <t>Jefe/a de Departamento</t>
  </si>
  <si>
    <t>Director/a de Programas y equipamientos</t>
  </si>
  <si>
    <t>Coordinador/a proyectos pedagógicos, de ocio y tiempo libre.</t>
  </si>
  <si>
    <t>Titulado/a de Grado</t>
  </si>
  <si>
    <t>Técnico/a de gestión</t>
  </si>
  <si>
    <t>Grupo III: personal de atención directa en equipamientos de cultura de proximidad y proyectos socioculturales</t>
  </si>
  <si>
    <t>Técnico/a especialista</t>
  </si>
  <si>
    <t>Animador/a sociocultural</t>
  </si>
  <si>
    <t>Mediador/a lntercultural Educativo</t>
  </si>
  <si>
    <t>Experto/a en Talleres o Tallerista</t>
  </si>
  <si>
    <t>lnformador/a Juvenil</t>
  </si>
  <si>
    <t>lnformador/a</t>
  </si>
  <si>
    <t>Mediador/a cultural</t>
  </si>
  <si>
    <t>Taquillero/a</t>
  </si>
  <si>
    <t>Controlador/a de salas</t>
  </si>
  <si>
    <t>Grupo IV: personal de atención directa</t>
  </si>
  <si>
    <t>Coordinador/a de actividades y proyectos de centro.</t>
  </si>
  <si>
    <t>Monitor/a de ocio educativo y tiempo libre.</t>
  </si>
  <si>
    <t>Grupo V: personal de administración</t>
  </si>
  <si>
    <t>Agente Comercial</t>
  </si>
  <si>
    <t>Oficial Administrativo</t>
  </si>
  <si>
    <t>Auxiliar Administrativo</t>
  </si>
  <si>
    <t>Recepcionista/Telefonista</t>
  </si>
  <si>
    <t>Grupo VI: personal de servicios generales</t>
  </si>
  <si>
    <t>Cocinero/a</t>
  </si>
  <si>
    <t>Ayudante de cocina</t>
  </si>
  <si>
    <t>Conductor/a</t>
  </si>
  <si>
    <t>Empleado/a de mantenimiento</t>
  </si>
  <si>
    <t>Empleado/a limpieza</t>
  </si>
  <si>
    <t>Auxiliar Servicios Generales</t>
  </si>
  <si>
    <t>Complemento de dedicación:</t>
  </si>
  <si>
    <r>
      <t xml:space="preserve">Este complemento se devenga por el </t>
    </r>
    <r>
      <rPr>
        <sz val="10"/>
        <color rgb="FFC00000"/>
        <rFont val="Aptos Narrow"/>
        <family val="2"/>
        <scheme val="minor"/>
      </rPr>
      <t>tiempo de preparación, evaluación, programación, reuniones, uso de medios propios, así como cualquier otra función de igual o similar naturaleza</t>
    </r>
    <r>
      <rPr>
        <sz val="10"/>
        <rFont val="Aptos Narrow"/>
        <family val="2"/>
        <scheme val="minor"/>
      </rPr>
      <t xml:space="preserve"> necesarios para el desempeño de su puesto de trabajo, percibiran un complemento mensual de 12 pagas denominado "de dedicación". Este complemento compensa las </t>
    </r>
    <r>
      <rPr>
        <sz val="10"/>
        <color rgb="FFC00000"/>
        <rFont val="Aptos Narrow"/>
        <family val="2"/>
        <scheme val="minor"/>
      </rPr>
      <t>tareas inherentes a la preparación de las actividades</t>
    </r>
    <r>
      <rPr>
        <sz val="10"/>
        <rFont val="Aptos Narrow"/>
        <family val="2"/>
        <scheme val="minor"/>
      </rPr>
      <t xml:space="preserve"> y por tanto, no conlleva ningún incremento de la actividad presencial en la empresa.
</t>
    </r>
    <r>
      <rPr>
        <sz val="10"/>
        <color rgb="FFC00000"/>
        <rFont val="Aptos Narrow"/>
        <family val="2"/>
        <scheme val="minor"/>
      </rPr>
      <t>Es proporcional a la jornada. Solo para nuevos pliegos (expedientes posteriores al BOE). No compensable y no absorbible.</t>
    </r>
  </si>
  <si>
    <t>Complemento festividad y descanso semanal obligatorio:</t>
  </si>
  <si>
    <r>
      <rPr>
        <sz val="10"/>
        <color rgb="FFC00000"/>
        <rFont val="Aptos Narrow"/>
        <family val="2"/>
        <scheme val="minor"/>
      </rPr>
      <t>+ 40 % del salario base</t>
    </r>
    <r>
      <rPr>
        <sz val="10"/>
        <rFont val="Aptos Narrow"/>
        <family val="2"/>
        <scheme val="minor"/>
      </rPr>
      <t xml:space="preserve">. 
Días de su descanso semanal y festivos, establecidos en su calendario laboral.
Descanso semanal: preferentemente el sábado y el domingo. </t>
    </r>
    <r>
      <rPr>
        <sz val="10"/>
        <color theme="9" tint="-0.499984740745262"/>
        <rFont val="Aptos Narrow"/>
        <family val="2"/>
        <scheme val="minor"/>
      </rPr>
      <t>Preferentemente (¿?)</t>
    </r>
    <r>
      <rPr>
        <sz val="10"/>
        <rFont val="Aptos Narrow"/>
        <family val="2"/>
        <scheme val="minor"/>
      </rPr>
      <t>, un sábado y un domingo consecutivos libres cada dos semanas.</t>
    </r>
  </si>
  <si>
    <t>Complemento nocturnidad:</t>
  </si>
  <si>
    <r>
      <t xml:space="preserve">entre las 22 y las 6h. </t>
    </r>
    <r>
      <rPr>
        <sz val="10"/>
        <color rgb="FFC00000"/>
        <rFont val="Aptos Narrow"/>
        <family val="2"/>
        <scheme val="minor"/>
      </rPr>
      <t>+ 15% del salario base</t>
    </r>
    <r>
      <rPr>
        <sz val="10"/>
        <rFont val="Aptos Narrow"/>
        <family val="2"/>
        <scheme val="minor"/>
      </rPr>
      <t>.</t>
    </r>
  </si>
  <si>
    <t>Complemento resposabilidad:</t>
  </si>
  <si>
    <r>
      <rPr>
        <sz val="10"/>
        <color rgb="FFC00000"/>
        <rFont val="Aptos Narrow"/>
        <family val="2"/>
        <scheme val="minor"/>
      </rPr>
      <t>+10 % del salario base</t>
    </r>
    <r>
      <rPr>
        <sz val="10"/>
        <rFont val="Aptos Narrow"/>
        <family val="2"/>
        <scheme val="minor"/>
      </rPr>
      <t>.
Trabajadores con categoría "monitor" que tengan a su cargo 5 monitores o menos.
Trabajadores que desarrollen tareas que no les son propias, de forma puntual, o continuada y que implican una responsabilidad explícita.</t>
    </r>
  </si>
  <si>
    <t>Complemento disponibilidad:</t>
  </si>
  <si>
    <r>
      <t xml:space="preserve">servicios presenciales con disponibilidad 24hs en casas de colonias, albergues, etc. </t>
    </r>
    <r>
      <rPr>
        <sz val="10"/>
        <color rgb="FFC00000"/>
        <rFont val="Aptos Narrow"/>
        <family val="2"/>
        <scheme val="minor"/>
      </rPr>
      <t>+ 10% del salario base</t>
    </r>
    <r>
      <rPr>
        <sz val="10"/>
        <rFont val="Aptos Narrow"/>
        <family val="2"/>
        <scheme val="minor"/>
      </rPr>
      <t>.</t>
    </r>
  </si>
  <si>
    <t>COEAS Álava</t>
  </si>
  <si>
    <t>IPC 19</t>
  </si>
  <si>
    <t>vigencia: desde 01/01/2017 hasta 31/12/2018</t>
  </si>
  <si>
    <t>IPC 20</t>
  </si>
  <si>
    <t>NUEVO: desde 01/01/2019 hasta 31/12/2022</t>
  </si>
  <si>
    <t>II convenio colectivo de ocio educativo y animación socio-cultural de Álava</t>
  </si>
  <si>
    <t>IPC 21</t>
  </si>
  <si>
    <t>prórroga: En caso de no producirse denuncia, se entenderá que el convenio se prorroga automáticamente de año en año (sin previsión de precios)</t>
  </si>
  <si>
    <t>IPC 22</t>
  </si>
  <si>
    <t>horas:</t>
  </si>
  <si>
    <t>*incluidas 20 de formación</t>
  </si>
  <si>
    <t>IPC del 3,6% +0,7%</t>
  </si>
  <si>
    <t>IPC+1%</t>
  </si>
  <si>
    <t>Coordinador/a proyectos pedagógicos</t>
  </si>
  <si>
    <t>Coordinador/a de actividades y proyectos de centro o servicio.</t>
  </si>
  <si>
    <t>Técnico de biblioteca</t>
  </si>
  <si>
    <t>Técnico especialista en montaje de exposiciones</t>
  </si>
  <si>
    <t>Guía especialista en patrimonio</t>
  </si>
  <si>
    <r>
      <t xml:space="preserve">Experto/a en Talleres, </t>
    </r>
    <r>
      <rPr>
        <sz val="11"/>
        <color rgb="FFC00000"/>
        <rFont val="Aptos Narrow"/>
        <family val="2"/>
        <scheme val="minor"/>
      </rPr>
      <t>monitor especializado y guía-intérprete</t>
    </r>
  </si>
  <si>
    <t>Vigilante medioambiental</t>
  </si>
  <si>
    <t>lnformador/a - Recepcionista</t>
  </si>
  <si>
    <t xml:space="preserve">Monitor/a de ocio educativo y tiempo libre </t>
  </si>
  <si>
    <t>Auxiliar Biblioteca</t>
  </si>
  <si>
    <t>Montador de exposiciones</t>
  </si>
  <si>
    <t>Jornada</t>
  </si>
  <si>
    <t>1650 horas en 2022</t>
  </si>
  <si>
    <t>35 días naturales de vacaciones en 2022</t>
  </si>
  <si>
    <t>Pluses:</t>
  </si>
  <si>
    <t>Plus antigüedad</t>
  </si>
  <si>
    <t>Por cada trienio vencido (hasta 5 trienios) x 14 pagas</t>
  </si>
  <si>
    <t>€/mes*</t>
  </si>
  <si>
    <t>*fecha de devengo: desde 01/01/2017 (hasta esa fecha quedará con ad personam)</t>
  </si>
  <si>
    <t>Complemento de responsabilidad</t>
  </si>
  <si>
    <t>Pagas extraordinarias (2 pagas)</t>
  </si>
  <si>
    <t>Incluyen salario base, antigüedad y responsabilidad</t>
  </si>
  <si>
    <t>Complemento de nocturnidad</t>
  </si>
  <si>
    <t>de 22:00 a 6:00. computo horario de 125%</t>
  </si>
  <si>
    <t>Complemento de disponibilidad</t>
  </si>
  <si>
    <t>disposición fuera de horario personal localizable y disponible</t>
  </si>
  <si>
    <t>Plus de domingos y/o festivos</t>
  </si>
  <si>
    <t>plus domingo y festivo 2019</t>
  </si>
  <si>
    <t>€/h</t>
  </si>
  <si>
    <t>comp. Domingo y festivo</t>
  </si>
  <si>
    <t>Plus de festivos de especial significación</t>
  </si>
  <si>
    <t>24/12 y 31/12 desde las 16:00; y 25/12 y 01/01 todo el día</t>
  </si>
  <si>
    <t>festivos de especial significacion €/h</t>
  </si>
  <si>
    <t>Ropa de trabajo</t>
  </si>
  <si>
    <t>€/año</t>
  </si>
  <si>
    <t>Vacaciones</t>
  </si>
  <si>
    <t>2019 y 2020 - 34 días naturales</t>
  </si>
  <si>
    <t>2021 - 35 días naturales</t>
  </si>
  <si>
    <t>2022 - 35 días naturales</t>
  </si>
  <si>
    <t>COEAS Navarra</t>
  </si>
  <si>
    <t>horas</t>
  </si>
  <si>
    <t>€/h 2023</t>
  </si>
  <si>
    <t>€/h 2024</t>
  </si>
  <si>
    <t>€/h 2025</t>
  </si>
  <si>
    <t>€/h 2026</t>
  </si>
  <si>
    <t>2026 con antigüedad para los contratos anteriores a 2023</t>
  </si>
  <si>
    <t>Director/a Gerente</t>
  </si>
  <si>
    <t>Director/a de Programas y Equipamientos</t>
  </si>
  <si>
    <t>Coordinador/a Proyectos Pedagógicos, de Ocio y Tiempo libre</t>
  </si>
  <si>
    <t>Técnico/a de Gestión</t>
  </si>
  <si>
    <t>Técnico/a Especialista</t>
  </si>
  <si>
    <t>Técnico/a de Biblioteca</t>
  </si>
  <si>
    <t>Técnico/a Especialista en montaje de exposiciones</t>
  </si>
  <si>
    <t>Guía especialista (en patrimonio)</t>
  </si>
  <si>
    <t>Animador/a Sociocultural</t>
  </si>
  <si>
    <t>Mediador/a Cultural</t>
  </si>
  <si>
    <t>Coordinador/a de Actividades y proyectos de centro</t>
  </si>
  <si>
    <t>Monitor/a de ocio educativo y tiempo libre</t>
  </si>
  <si>
    <t>Auxiliar de Biblioteca</t>
  </si>
  <si>
    <t>Montador/a de exposiciones</t>
  </si>
  <si>
    <t>Empleado/a de Mantenimiento</t>
  </si>
  <si>
    <t>Empleado/a Limpieza</t>
  </si>
  <si>
    <t>Nocturnidad</t>
  </si>
  <si>
    <t>25 % sobre el salario base de la hora ordinaria</t>
  </si>
  <si>
    <t>Antigüedad</t>
  </si>
  <si>
    <t>por cada trienio vencido desde el 1 de enero de 2023, todo el personal tendrá derecho a un complemento de antigüedad por un importe mensual de 25 € mensuales por 14 pagas. El máximo de trienios será de 5.</t>
  </si>
  <si>
    <r>
      <t xml:space="preserve">I COEAS Madrid </t>
    </r>
    <r>
      <rPr>
        <b/>
        <sz val="12"/>
        <rFont val="Aptos Narrow"/>
        <family val="2"/>
        <scheme val="minor"/>
      </rPr>
      <t>(y tablas hasta sep-2023)</t>
    </r>
  </si>
  <si>
    <t>hasta 31/12/2019 prorrogable si no hay denuncia por años sucesivos</t>
  </si>
  <si>
    <t>tablas prorrogadas</t>
  </si>
  <si>
    <t>horas/sem.:</t>
  </si>
  <si>
    <t>horas/año:</t>
  </si>
  <si>
    <t>desde 01/10/2017</t>
  </si>
  <si>
    <t>desde 01/10/2018</t>
  </si>
  <si>
    <t>desde 01/10/2019</t>
  </si>
  <si>
    <t>desde 01/10/2020</t>
  </si>
  <si>
    <t>desde 01/10/2021</t>
  </si>
  <si>
    <t>desde 01/10/2022</t>
  </si>
  <si>
    <t>Grupo I: personal directivo y de gestión</t>
  </si>
  <si>
    <t>Experto en cursos/talleres</t>
  </si>
  <si>
    <t>Mediador cultural</t>
  </si>
  <si>
    <t>Taquillero</t>
  </si>
  <si>
    <t>Controlador de salas</t>
  </si>
  <si>
    <t>Descanso semanal: preferiblemente sábado y domingo. Obligatorio un sábado y domingo consecutivos libres cada dos semanas.</t>
  </si>
  <si>
    <t>Complemento de festividad: 40% del salario base (días de descanso semanal y Festivos)</t>
  </si>
  <si>
    <t>Complemento de nocturnidad: entre las 22 horas y las 6 horas - 15% del salario base</t>
  </si>
  <si>
    <r>
      <t xml:space="preserve">II COEAS Madrid </t>
    </r>
    <r>
      <rPr>
        <b/>
        <sz val="12"/>
        <rFont val="Aptos Narrow"/>
        <family val="2"/>
        <scheme val="minor"/>
      </rPr>
      <t>(desde oct-2023)</t>
    </r>
  </si>
  <si>
    <t>para todos:</t>
  </si>
  <si>
    <t>*solo para expertos en talleres:</t>
  </si>
  <si>
    <t>para talleres:</t>
  </si>
  <si>
    <t>desde 01/10/2023</t>
  </si>
  <si>
    <t>desde 01/10/2024</t>
  </si>
  <si>
    <t>desde 01/10/2025</t>
  </si>
  <si>
    <t>desde 01/10/2026</t>
  </si>
  <si>
    <t>hasta 30/09/27</t>
  </si>
  <si>
    <t>Personal administrativo de atención directa</t>
  </si>
  <si>
    <t>*SMI 2024</t>
  </si>
  <si>
    <t>*SMI 2025</t>
  </si>
  <si>
    <t>COEAS Andalucía</t>
  </si>
  <si>
    <t>Publicado: 18/05/22</t>
  </si>
  <si>
    <t>desde publicación hasta el 01/10/2024 (si no ha sido denunciado al vencimiento, se entenderá que prorrogará por años naturales sucesivos)</t>
  </si>
  <si>
    <t>*</t>
  </si>
  <si>
    <t>hasta 01/10/2022</t>
  </si>
  <si>
    <t>comp. Dedicación</t>
  </si>
  <si>
    <t>01/10/2022 - 01/10/2023</t>
  </si>
  <si>
    <t>01/10/2023 - 01/10/2024</t>
  </si>
  <si>
    <t>II COEAS Andalucía (preacuerdo)</t>
  </si>
  <si>
    <t>Publicado PREACUERDO: BOJA 16/09/2024</t>
  </si>
  <si>
    <t>Las tablas del Anexo 2 no son aplicables a las personas trabajadoras adscritas a contratos o servicios con clientes de las empresas –sean públicos o privados– que sean anteriores a esta firma y su entrada en vigor, ni tampoco a sus prórrogas ordinarias obligatorias, aunque estas se produzcan posteriormente a dicha entrada en vigor del acuerdo salarial.</t>
  </si>
  <si>
    <t xml:space="preserve">a partir de la firma del presente acuerdo, que la jornada de trabajo en cómputo anual es de 1.698 horas de tiempo máximo de trabajo efectivo, distribuidas en jornadas semanales de 37 horas y 30 minutos de tiempo máximo de trabajo efectivo </t>
  </si>
  <si>
    <t>Ultraactividad 2 años:</t>
  </si>
  <si>
    <t>01/10/2023 - 01/10/2024 con comp. dediación</t>
  </si>
  <si>
    <t>SB:
sep-24 - ago-25</t>
  </si>
  <si>
    <t>TOTAL:
sep-24 - ago-25</t>
  </si>
  <si>
    <t>SB:
sep-25 - ago-26</t>
  </si>
  <si>
    <t>TOTAL:
sep-25 - ago-26</t>
  </si>
  <si>
    <t>SB:
sep-26 - ago-27</t>
  </si>
  <si>
    <t>TOTAL:
sep-26 - ago-27</t>
  </si>
  <si>
    <t>SB:
sep-27 - ago-28</t>
  </si>
  <si>
    <t>TOTAL:
sep-27 - ago-28</t>
  </si>
  <si>
    <t>TOTAL:
sep-28 - ago-29</t>
  </si>
  <si>
    <t>TOTAL:
sep-29 - ago-30</t>
  </si>
  <si>
    <t>Experto en talleres o tallerista</t>
  </si>
  <si>
    <t>Personal mentor</t>
  </si>
  <si>
    <t>Conveni collectiu del sector del lleure educatiu i sociocultural de Catalunya</t>
  </si>
  <si>
    <t>hs/año</t>
  </si>
  <si>
    <t>hs/sem</t>
  </si>
  <si>
    <t>Grup professional</t>
  </si>
  <si>
    <t>Lloc de treball</t>
  </si>
  <si>
    <t>I. Personal directiu</t>
  </si>
  <si>
    <t>Gerent/director</t>
  </si>
  <si>
    <t>II. Personal de gestió i coordinació</t>
  </si>
  <si>
    <t>Cap de departament</t>
  </si>
  <si>
    <t>Director/ora de programes, proj. i equip.</t>
  </si>
  <si>
    <t>Coordinador/ora projectes pedagògics i de ll.</t>
  </si>
  <si>
    <t>Tècnic/a de gestió:</t>
  </si>
  <si>
    <t>Nivell A (Antic titulat/ada de Grau Sup.)</t>
  </si>
  <si>
    <t>Nivell B (Antic Titulat/ada de Grau Mitjà)</t>
  </si>
  <si>
    <t>III. Personal d'intervenció</t>
  </si>
  <si>
    <t>Tècnic/a d'atenció especialitzada:</t>
  </si>
  <si>
    <t>Tallerista</t>
  </si>
  <si>
    <t>Mediador/ora cultural</t>
  </si>
  <si>
    <t>Animador/ora sociocultural</t>
  </si>
  <si>
    <t>Informador/ora juvenil</t>
  </si>
  <si>
    <t>Coordinador/ora activitats</t>
  </si>
  <si>
    <t>Monitor/ora d'educació en el lleure</t>
  </si>
  <si>
    <t>IV. Personal d'atenció al públic</t>
  </si>
  <si>
    <t>Informador/ora</t>
  </si>
  <si>
    <t>Tècnic/ica de producció</t>
  </si>
  <si>
    <t>Controlador/ora de sales</t>
  </si>
  <si>
    <t>V. Personal d'administració</t>
  </si>
  <si>
    <t>Agent comercial</t>
  </si>
  <si>
    <t>Oficial administratiu/iva</t>
  </si>
  <si>
    <t>Auxiliar/administratiu/iva</t>
  </si>
  <si>
    <t>Venedor/ora d'entrades i reserva grups</t>
  </si>
  <si>
    <t>VI. Personal cuina i serveis generals</t>
  </si>
  <si>
    <t>Cuiner/era</t>
  </si>
  <si>
    <t>Ajudant/a de cuina</t>
  </si>
  <si>
    <t>Empleat/ada de neteja</t>
  </si>
  <si>
    <t>Conductor/ora</t>
  </si>
  <si>
    <t>Empleat/ada de manteniment</t>
  </si>
  <si>
    <t>Porter/era/Zelador/ora</t>
  </si>
  <si>
    <t>hora extraordinaria</t>
  </si>
  <si>
    <t>Complemento descanso semanal</t>
  </si>
  <si>
    <t>36 horas de descanso semanal ininterrumpidas (prioritariamente sábado y domingo)</t>
  </si>
  <si>
    <t>durante los meses de julio y agosto, 48 horas de descanso semanales ininterrumpidas.</t>
  </si>
  <si>
    <t>complemento salarial descanso semanal o festivo</t>
  </si>
  <si>
    <t>Complemento de responsabilidad*</t>
  </si>
  <si>
    <t>*monitor, que tenga a su cargo 3 o menos monitores</t>
  </si>
  <si>
    <t>Complemento disponibilidad</t>
  </si>
  <si>
    <t>20% del salario base diario por cada día devengado de este complemento.</t>
  </si>
  <si>
    <t>Complemento de antigüedad</t>
  </si>
  <si>
    <t>desde el 1 de enero de 2005 ya no se devengarán más cantidades por concepto de antigüedad</t>
  </si>
  <si>
    <t>DEPORTE ESTATAL</t>
  </si>
  <si>
    <t>IV Convenio colectivo estatal de instalaciones deportivas y gimnasios.</t>
  </si>
  <si>
    <t>Vigencia: desde 01/01/2018 hasta 31/12/2019</t>
  </si>
  <si>
    <t>Prórrogas. Este Convenio Colectivo podrá ser prorrogado expresa o tácitamente. Se entenderá prorrogado tácitamente, por periodos anuales, si no mediara aviso de denuncia formulado por cualquiera de las partes, con al menos un mes de antelación a la finalización de su vigencia o de la prórroga en curso.</t>
  </si>
  <si>
    <t>Variación prórrogas: IPC + 0,5% cada año</t>
  </si>
  <si>
    <t>IPC + 0,5%</t>
  </si>
  <si>
    <t>*actualizado a SMI (AEESDAP)</t>
  </si>
  <si>
    <t>NUEVO CONVENIO (última tabla recibida, todavía por firmar)</t>
  </si>
  <si>
    <t>extra</t>
  </si>
  <si>
    <t>extra fest.</t>
  </si>
  <si>
    <t>Plus transp.</t>
  </si>
  <si>
    <t>Plus nocturna</t>
  </si>
  <si>
    <t>Comp. Movil. (x14)</t>
  </si>
  <si>
    <t xml:space="preserve">plus/día transporte </t>
  </si>
  <si>
    <t>nocturna</t>
  </si>
  <si>
    <t>plus transp.</t>
  </si>
  <si>
    <t>Directores Generales, Gerentes de los Gimnasios o Centros de Actividad Físico-Deportiva</t>
  </si>
  <si>
    <t>Directores de departamento, tales como financiero, recursos humanos, comercial, marketing, de actividades técnicas, así como, médico, etc.</t>
  </si>
  <si>
    <t>Fisioterapeutas, DUE, Contable, Secretaria/o de Dirección, Jefe de Mantenimiento, etc.</t>
  </si>
  <si>
    <t>Coordinador fitness, actividades aeróbicas, de piscina, de raqueta, de clases colectivas, de mantenimiento de instalaciones, oficial administrativo 1.ª, oficial de 1.ª de mantenimiento de instalaciones, coordinador recepción.</t>
  </si>
  <si>
    <t>Monitor multidisciplinar, que imparte más de una disciplina o actividad dirigida diferentes, independientemente de la instalación o medio donde se imparta, incluyendo los socorristas y/o monitores de sala, que también impartan otra disciplina o actividad dirigida.</t>
  </si>
  <si>
    <t>Masajista, oficial de 2.ª de mantenimiento de instalaciones, oficial administrativo 2.ª, recepcionista, taquillero, socorrista, monitor unidisciplinar, dependiente tienda propia dentro de las instalaciones deportivas, encargado de limpieza.</t>
  </si>
  <si>
    <t>Auxiliares administrativos, telefonistas, control de acceso, portero, esteticista.</t>
  </si>
  <si>
    <t>Personal de limpieza, peón de mantenimiento de instalaciones, personal de vestuarios, mozo de cuadra, etc.</t>
  </si>
  <si>
    <t>*SMI</t>
  </si>
  <si>
    <t>CONVENIO DEPORTE ÁLAVA</t>
  </si>
  <si>
    <t>Nuevo convenio 01/01/2024-31/03/2026</t>
  </si>
  <si>
    <t>Anterior convenio: 2020-2021-2022-2023. Finalizó su vigencia el 31 de diciembre de 2023</t>
  </si>
  <si>
    <t>Nuevo convenio, horas:</t>
  </si>
  <si>
    <t>hs/mes (j.c.)</t>
  </si>
  <si>
    <t>a partir de oct-23:</t>
  </si>
  <si>
    <t>G 1-2</t>
  </si>
  <si>
    <t>grupos 1 y 2 (actividades relacionadas con la docencia y vigilancia de medio acuático)</t>
  </si>
  <si>
    <t>G 3-4-5</t>
  </si>
  <si>
    <t>grupos 3 y 4 (resto de profesionales)</t>
  </si>
  <si>
    <t>IPC24 (3,6%)</t>
  </si>
  <si>
    <t>IPC25</t>
  </si>
  <si>
    <t>IPC26 + 8%</t>
  </si>
  <si>
    <t>Salario bruto</t>
  </si>
  <si>
    <t>subida*</t>
  </si>
  <si>
    <t>Grupos</t>
  </si>
  <si>
    <t>Categorías</t>
  </si>
  <si>
    <t>jornada anual</t>
  </si>
  <si>
    <t>2023 (ene-sep)</t>
  </si>
  <si>
    <t>01/10/2023 y 2024</t>
  </si>
  <si>
    <t>Grupo 1</t>
  </si>
  <si>
    <t>Monitor/a con base musical en iidd</t>
  </si>
  <si>
    <t>Monitor/a sin base musical</t>
  </si>
  <si>
    <t>Grupo 2</t>
  </si>
  <si>
    <t>Socorrista</t>
  </si>
  <si>
    <t>Grupo 3</t>
  </si>
  <si>
    <t>ATS/DUE</t>
  </si>
  <si>
    <t>Grupo 4</t>
  </si>
  <si>
    <t>Mantenimiento/Jardinería</t>
  </si>
  <si>
    <t>Portero/Control de instalaciones</t>
  </si>
  <si>
    <t>Vigilante/Toboganero</t>
  </si>
  <si>
    <t>Esteticista</t>
  </si>
  <si>
    <t>Recepcionista</t>
  </si>
  <si>
    <t>Auxiliar administrativo</t>
  </si>
  <si>
    <t>Plus de antigüedad</t>
  </si>
  <si>
    <r>
      <t xml:space="preserve">Cada 3 años, aumento del </t>
    </r>
    <r>
      <rPr>
        <b/>
        <sz val="11"/>
        <color rgb="FFFF0000"/>
        <rFont val="Aptos Narrow"/>
        <family val="2"/>
        <scheme val="minor"/>
      </rPr>
      <t>3% del salario bruto</t>
    </r>
    <r>
      <rPr>
        <sz val="11"/>
        <rFont val="Aptos Narrow"/>
        <family val="2"/>
        <scheme val="minor"/>
      </rPr>
      <t xml:space="preserve"> (máx. 5 trienios, tope a percibir 15% salario bruto)</t>
    </r>
  </si>
  <si>
    <r>
      <t xml:space="preserve">*Subidas IPCs CAPV (2019+2020+2021+2022) - 4,5% </t>
    </r>
    <r>
      <rPr>
        <sz val="11"/>
        <rFont val="Aptos Narrow"/>
        <family val="2"/>
        <scheme val="minor"/>
      </rPr>
      <t>(lo mismo -5,5% para el grupo 4)</t>
    </r>
  </si>
  <si>
    <t>Plus responsable de servicio (RS)</t>
  </si>
  <si>
    <t>personas trabajadoras que tengan recogidas en sus funciones tareas de responsabilidad del servicio</t>
  </si>
  <si>
    <t>140 € brutos/mes (independientemente del porcentaje de jornada que tengan por contrato, NO CONSOLIDABLE)</t>
  </si>
  <si>
    <t>Plus domingos y festivos</t>
  </si>
  <si>
    <t>Grupos 1-3-4</t>
  </si>
  <si>
    <t>G1-2-3</t>
  </si>
  <si>
    <t>Plus nocturno</t>
  </si>
  <si>
    <t>Kilometraje</t>
  </si>
  <si>
    <t>(fuera de su cuadrante o centro asignado). 0,4€/km 2024 ; 0,41€/km en 2025</t>
  </si>
  <si>
    <t>Formación</t>
  </si>
  <si>
    <t>Las empresas vendrán obligadas a ofrecer a toda la plantilla tres cursos anuales (uno por cuatrimestre) de profesionalización en el sector</t>
  </si>
  <si>
    <t>G4</t>
  </si>
  <si>
    <t>La renovación del título de Socorrista tendrá la consideración de tiempo de trabajo efectivo.</t>
  </si>
  <si>
    <t>camiseta, bañador, chancletas y gorra (2 x año)</t>
  </si>
  <si>
    <t>Monitor natación</t>
  </si>
  <si>
    <t>camiseta, bañador y chancletas (2 x año)</t>
  </si>
  <si>
    <t>Monitor deportivo</t>
  </si>
  <si>
    <t>pantalón y camiseta (2 x año)</t>
  </si>
  <si>
    <t>CONVENIO DEPORTE NAVARRA</t>
  </si>
  <si>
    <t>Convenio Colectivo del Sector Empresas y Entidades Privadas Gestoras de Servicios y Equipamientos Deportivos Propiedad de otras Entidades de Navarra</t>
  </si>
  <si>
    <t>Boletín Oficial de Navarra número 242, de 18 de diciembre de 2018</t>
  </si>
  <si>
    <t>Vigencia: 01/01/2016 - 31/12/2020</t>
  </si>
  <si>
    <t>1704 hs.</t>
  </si>
  <si>
    <t>2016 - 2018</t>
  </si>
  <si>
    <t>2º 1/2 2018</t>
  </si>
  <si>
    <t>salario hora 2024</t>
  </si>
  <si>
    <t>plus dom/fest.</t>
  </si>
  <si>
    <t>plus noct.</t>
  </si>
  <si>
    <t>Directores de instalación, Gerente, Responsable de proyecto</t>
  </si>
  <si>
    <t>Coordinador deportivo, Fisioterapeuta, A.T.S.‑D.U.E., Responsables de departamento</t>
  </si>
  <si>
    <t>Grupo 3 general</t>
  </si>
  <si>
    <t>Técnico de Actividad deportiva (monitor) en todas sus especialidades</t>
  </si>
  <si>
    <t>Monitor                                ( 1613 hs.)</t>
  </si>
  <si>
    <t>Grupo 4 general</t>
  </si>
  <si>
    <t>Técnico de Sala, Masajistas, Oficial de Primera administrativo, Oficial de primera de oficios varios y Socorrista</t>
  </si>
  <si>
    <t>Técnico de sala                  (1637 hs.)</t>
  </si>
  <si>
    <t>Grupo 5</t>
  </si>
  <si>
    <t>Auxiliar administrativo, Operario de servicio generales (polivalente funciones de grupos 5 y 6), Ayudante de monitor</t>
  </si>
  <si>
    <t>Grupo 6</t>
  </si>
  <si>
    <t>Conserje, Portero, Camarero, Peón y Peón de limpieza</t>
  </si>
  <si>
    <t>Plus vinculación (antigüedad)</t>
  </si>
  <si>
    <t>*solo en 12 mensualidades (no extras)</t>
  </si>
  <si>
    <t>más de 2 años y 1 día   -   +2%</t>
  </si>
  <si>
    <t>más de 3 años y 1 día   -   +4%</t>
  </si>
  <si>
    <t>más de 4 años y 1 día   -   +6%</t>
  </si>
  <si>
    <t>DEPORTE BIZKAIA -  Locales y Campos Deportivos de Bizkaia</t>
  </si>
  <si>
    <t>Vigencia: desde el 1 de enero de 2018 al 31 de diciembre de 2022</t>
  </si>
  <si>
    <t>Incrementos salariales:</t>
  </si>
  <si>
    <t>Para el año 2018, del 1 de enero al 31 de diciembre, se acuerda un incremento del 1,1% (IPC 2017) aplicado sobre las tablas del año 2017.</t>
  </si>
  <si>
    <t>Para el año 2019, del 1 de enero al 31 de diciembre, se acuerda un incremento del 1,2% (IPC 2018) aplicado sobre las tablas del año 2018.</t>
  </si>
  <si>
    <t>Para el año 2020, del 1 de enero al 31 de diciembre, se acuerda un incremento del 1,55% (IPC 2019+0,75%) aplicado sobre las tablas del año 2019.</t>
  </si>
  <si>
    <t>Para el año 2021, del 1 de enero al 31 de diciembre, se acuerda un incremento equivalente al IPC del año 2020 más un 0,75% aplicado sobre las tablas del año 2020.</t>
  </si>
  <si>
    <t>Para el año 2022, del 1 de enero al 31 de diciembre, un incremento equivalente al IPC de 2021 más un 0,75% aplicado sobre las tablas del año 2021.</t>
  </si>
  <si>
    <t>Si el IPC fuera negativo alguno de los años recogidos en el presente artículo se partirá de un IPC de 0.</t>
  </si>
  <si>
    <t>ultractividad</t>
  </si>
  <si>
    <t>horas convenio</t>
  </si>
  <si>
    <t>horas Durango</t>
  </si>
  <si>
    <t>salario 2021</t>
  </si>
  <si>
    <t>salario 2022</t>
  </si>
  <si>
    <t>16 pagas</t>
  </si>
  <si>
    <t>Nivel 1</t>
  </si>
  <si>
    <t>Director gerente o asimilados</t>
  </si>
  <si>
    <t>Directores de áreas funcionales</t>
  </si>
  <si>
    <t>Nivel 2</t>
  </si>
  <si>
    <t>Jefe de negociado, responsable de departamentos administrativos</t>
  </si>
  <si>
    <t>Nivel 3</t>
  </si>
  <si>
    <t>Fisioterapeuta, Intendente</t>
  </si>
  <si>
    <t>Nivel 4</t>
  </si>
  <si>
    <t>Técnicos responsables</t>
  </si>
  <si>
    <t>Nivel 5</t>
  </si>
  <si>
    <t>Inspector de locales</t>
  </si>
  <si>
    <t>Nivel 6</t>
  </si>
  <si>
    <t>Jueces de centro</t>
  </si>
  <si>
    <t>Subgrupo administración</t>
  </si>
  <si>
    <t>Oficial admin. de 1ª</t>
  </si>
  <si>
    <t>Oficial admin. de 2ª</t>
  </si>
  <si>
    <t>Subgrupo operaciones</t>
  </si>
  <si>
    <t>Coordinadores</t>
  </si>
  <si>
    <t xml:space="preserve">Entrenadores </t>
  </si>
  <si>
    <t>Encargado de personal, maquinista</t>
  </si>
  <si>
    <t>Fogonero</t>
  </si>
  <si>
    <t>Oficial de instalaciones y pistas marinero</t>
  </si>
  <si>
    <t>Pagador</t>
  </si>
  <si>
    <t>Monitor</t>
  </si>
  <si>
    <t>Nivel 7</t>
  </si>
  <si>
    <t>Monitor o ayudante</t>
  </si>
  <si>
    <t>Nivel 8</t>
  </si>
  <si>
    <t>Ayudante fisioterapia</t>
  </si>
  <si>
    <t>Nivel 9</t>
  </si>
  <si>
    <t>Calculistas</t>
  </si>
  <si>
    <t>Nivel 10</t>
  </si>
  <si>
    <t>Nivel 11</t>
  </si>
  <si>
    <t>Personal de frontón</t>
  </si>
  <si>
    <t>Personal de campos de futbol (jardinero-chofer)</t>
  </si>
  <si>
    <t>Oficial de 1ª</t>
  </si>
  <si>
    <t>Oficial de 2ª</t>
  </si>
  <si>
    <t>Personal de accesos, taquilleros y dependientes</t>
  </si>
  <si>
    <t>Oficial de 3ª, encargado de vestuario y ordenanza y vigilante</t>
  </si>
  <si>
    <t>Conserje</t>
  </si>
  <si>
    <t>Personal común de guardería y porteros o recibidores</t>
  </si>
  <si>
    <t>Peón</t>
  </si>
  <si>
    <t>Acomodadores y personal de aseos y personal de cabina y vestuario y personal de limpieza</t>
  </si>
  <si>
    <t>Personal de limpieza día</t>
  </si>
  <si>
    <t>Personal de limpieza hora</t>
  </si>
  <si>
    <t>Intervención Social estatal</t>
  </si>
  <si>
    <t>€/mes (14) 2018</t>
  </si>
  <si>
    <t>+ pluses varios</t>
  </si>
  <si>
    <t>Plus Antigüedad x mes (14 pagas)</t>
  </si>
  <si>
    <t>Plus Nocturnidad x mes (12 pagas)</t>
  </si>
  <si>
    <t>Plus Turnicidad x mes (12 pagas)</t>
  </si>
  <si>
    <t>Plus Domingos y/o Festivos x hora efectiva</t>
  </si>
  <si>
    <t>Complemento Nocturnidad x hora efectiva</t>
  </si>
  <si>
    <t>Grupo 1:</t>
  </si>
  <si>
    <t>Personal encargado de tareas que requieren máximos niveles de complejidad y autonomía; normalmente con formación universitaria superior (licenciaturas) en materias propias o relacionadas con la Intervención Social o con la Administración y Gestión, o/y cualificación y experiencia contrastadas para el desempeño de las mismas.
En este grupo profesional se incluyen, a título orientativo y de referencia, las siguientes antiguas categorías profesionales y/o puestos de trabajo:
— Área de Intervención Social: Psicología, Medicina, Titulación Superior en Intervención social, etc.
— Titulaciones Superiores además de las mencionadas: Pedagogía, Psicopedagogía, Sociología, Antropología, Ciencias Ambientales, Humanidades, Biología, etc.
— Área de Administración y Gestión: Titulaciones Superiores en Administración y Dirección de empresas o en Gestión.
— Titulaciones Superiores además de las mencionadas: Economía, Licenciatura en Ciencias Empresariales, Ciencias del
Trabajo, Derecho, Ingenierías de organización, etc.
— Área de Servicios y Actividades Auxiliares: Titulaciones Superiores.</t>
  </si>
  <si>
    <t>Grupo 2:</t>
  </si>
  <si>
    <t>Personal encargado de tareas que requieren altos niveles de complejidad y autonomía; normalmente con formación universitaria media (diplomatura o similares) en materias propias o relacionadas con la Intervención Social o con Administración y Gestión, o/y cualificación y experiencia contrastadas para el desempeño de las mismas.
En este grupo profesional se incluyen, a título orientativo y de referencia, las siguientes antiguas categorías profesionales
y/o puestos de trabajo:
— Área de Intervención Social: Educación Social, Trabajo social, Titulación Media en Intervención Social, ATS-DUE, Jefa o jefe de Taller de Trabajo Protegido, Profesorado de Apoyo, etc.
— Titulaciones Medias además de las mencionadas: Relaciones Laborales, Terapia Ocupacional, Ciencias de la Educación, etc.
— Área de Administración y Gestión: Titulaciones Medias en Administración y Gestión, Diplomatura en Empresariales, Relaciones Laborales, etc.
— Área de Servicios y Actividades Auxiliares: Titulaciones Medias.</t>
  </si>
  <si>
    <t>Grupo 3:</t>
  </si>
  <si>
    <t>Personal encargado de tareas que requieren niveles medios de complejidad y autonomía; normalmente con unos niveles de formación altos, aunque no necesariamente universitaria (Ciclos Formativos de Grado Superior, Bachillerato, etc.) o/y cualificación y experiencia contrastadas para el desempeño de las mismas.
En este grupo profesional se incluyen, a título orientativo y de referencia, las siguientes antiguas categorías profesionales y/o puestos de trabajo:
— Área de Intervención Social: Integración Social, Animación Socio-Cultural.
— Titulaciones equivalentes además de las mencionadas: Titulación Superior en Servicios Socioculturales y a la Comunidad, Educación Infantil, etc.
— Área de Administración y Gestión: Personal Técnico Superior en Administración y Finanzas (Administrativa o Administrativo), Personal Técnico Superior en Secretariado, etc.
— Área de Servicios y Actividades Auxiliares: Personal Técnico Superior en Restauración, Personal Técnico Superior en Turismo, etc.</t>
  </si>
  <si>
    <t>Grupo 4:</t>
  </si>
  <si>
    <t>Personal encargado de tareas que requieren niveles ordinarios de complejidad, responsabilidad y autonomía; normalmente con unos niveles de formación medios o básicos, no universitaria (Ciclos Formativos de Grado Medio), o/y cualificación y experiencia contrastadas para el desempeño de las mismas.
En este grupo profesional se incluyen, a título orientativo y de referencia, las siguientes antiguas categorías profesionales y/o puestos de trabajo:
— Área de Intervención Social: Personal Monitor, Personal Técnico de Servicios Socioculturales y a la Comunidad, Atención Socio-Sanitaria, etc.
— Área de Administración y Gestión: Técnico Medio en Administración y Finanzas (Administrativa o Administrativo), Auxiliar Administrativa o Auxiliar Administrativo.
— Área de Servicios y Actividades Auxiliares: Personal de Mantenimiento y Servicios: incluyendo a quienes establecen y atienden las comunicaciones interiores y exteriores, así como quienes realizan funciones auxiliares de reparto, conducción de vehículos, cocina, servicio de camareras o camareros, gobernanta o gobernante, etc.</t>
  </si>
  <si>
    <t>Grupo 5:</t>
  </si>
  <si>
    <t xml:space="preserve">Personal encargado de tareas que requieren bajos niveles de complejidad, responsabilidad y autonomía: normalmente con unos niveles de formación básicos o sin formación o, simplemente, con cualificación y experiencia contrastadas para el desempeño de las mismas.
En este grupo profesional se incluyen, a título orientativo y de referencia, las siguientes antiguas categorías profesionales y/o puestos de trabajo:
— Área de Servicios y Actividades Auxiliares: Personal auxiliar con funciones básicas de servicios con carácter auxiliar, tales como la vigilancia de las instalaciones, control de accesos, apertura y cierre de puertas, limpieza de las dependencias, portería, consejería, recepción de visitas, etc.
</t>
  </si>
  <si>
    <t>Intervención Social de Bizkaia (actualizado nuevo 2022-2025)</t>
  </si>
  <si>
    <t>Vigencia: 2017-2021</t>
  </si>
  <si>
    <t>**NUEVO**  Vigencia: 2022-2025</t>
  </si>
  <si>
    <t>por trienio (limite 5 trienios)</t>
  </si>
  <si>
    <t>jornada máxima:</t>
  </si>
  <si>
    <t>Plus antigüedad x Mes (14 p.)</t>
  </si>
  <si>
    <t>jornada máxima efectiva:</t>
  </si>
  <si>
    <t>2017 y 2018</t>
  </si>
  <si>
    <t>2026 ene-sep</t>
  </si>
  <si>
    <t>2026 oct-dic</t>
  </si>
  <si>
    <t>*ver grupos profesionales debajo</t>
  </si>
  <si>
    <t>Plus nocturnidad/plus turnicidad x Mes (12 pagas) (0,80%)</t>
  </si>
  <si>
    <t>Edu, considera si quieres borrar esto:</t>
  </si>
  <si>
    <t>Pulso sobre negociación de convenio (may-24)</t>
  </si>
  <si>
    <t>Efecto retroactivo</t>
  </si>
  <si>
    <t>--&gt; se tomará el diferencial entre el sumatorio de IPCs (22-23-24-25-26) incrementado en un 2% y el sumatorio de los porcentajes fijos aplicados en convenio en esa vigencia y se actualizará en enero 2027 en caso de ser superior</t>
  </si>
  <si>
    <t>Plus domingos y/o festivos x Hora efectiva</t>
  </si>
  <si>
    <t>desde 01/01/2025</t>
  </si>
  <si>
    <t>Plus festivos especial significación x Hora efectiva (+1 día)</t>
  </si>
  <si>
    <t>(=1564 de jornada máxima efectiva)</t>
  </si>
  <si>
    <t>Para cada año: Valores minimos (obligatorios) y máximos (referencia superable)</t>
  </si>
  <si>
    <t>*provisional</t>
  </si>
  <si>
    <t>Complementos de responsabilidad: 
X Año (prorrateo a 14 pagas)</t>
  </si>
  <si>
    <t>Tramo 1</t>
  </si>
  <si>
    <t>Tramo 2</t>
  </si>
  <si>
    <t>Tramo 3</t>
  </si>
  <si>
    <t>Tramo 4</t>
  </si>
  <si>
    <t>Tramo 5</t>
  </si>
  <si>
    <t>Convenio propone 5 tramos según el grado de responsabilidad. No obstante, cada orgnanización determina cuantos implementa, su contenido, y el importe economico de cada uno, que al menos tiene que igualar el minimo que establece el convenio</t>
  </si>
  <si>
    <t>— Grupo profesional 1.A) Área de Intervención:
 • Psicólogo/a; Médico/a, Abogado/a, Titulado Superior en Intervención Social, etc.
 • Titulados superiores además de los mencionados: Pedagogo, Psicopedagogo, Sociólogo, Antropólogo, CC. Ambientales, Humanidades, Biología, etc.
— Grupo profesional 1.B) Área de Administración y Gestión:
 • Titulado Superior en Administración y Gestión.
 • Titulados superiores: Economista, licenciado en CC. Empresariales, CC. del Trabajo Abogado, Ingeniero de organización, etc.
— Grupo profesional 1.C) Área de Servicios y Actividades Auxiliares:
 • Titulados Superiores.</t>
  </si>
  <si>
    <t>—Grupo profesional 2.A) Área de Intervención:
 • Educador/a Social, Trabajador/a Social, Titulado Medio en Intervención Social, ATS-DUE, Jefe/a de Taller trabajo protegido, Profesorado de Apoyo, etc.
 • Titulados medios además de los mencionados: Relaciones Laborales, Terapia Ocupacional, CC. de la Educación, etc.
— Grupo profesional 2.B) Área de Administración y Gestión:
 • Titulado Medio en Administración y Gestión, Diplomado en Empresariales, Relaciones Laborales, etc.
 • Titulados Medios además de los mencionados: Diplomado en Empresariales, Relaciones Laborales, etc.
—Grupo profesional 2.C) Área de Servicios y Actividades Auxiliares:
 • Titulados medios.</t>
  </si>
  <si>
    <t>— Grupo profesional 3.A) Área de Intervención:
 • Integrador/a Social, Auxiliar educativo de centros residenciales de menores.
 • Titulaciones equivalentes además de las mencionadas: Técnico Superior en Servicios Socioculturales y a la Comunidad: Educación Infantil, etc.
 • Animador/a Socio-cultural, Educador Medioambiental, Educador de Consumo, Informador juvenil, y otras asimilables en el marco del ocio educativo y animación sociocultural.
— Grupo profesional 3.B9 Área de Administración y Gestión:
 • Técnico Superior en Administración y Finanzas, Técnico Superior en Secretariado, etc.
— Grupo profesional 3.C) Área de Servicios y Actividades Auxiliares:
 • Técnico Superior en Restauración, Técnico Superior en Turismo, etc.</t>
  </si>
  <si>
    <t>— Grupo profesional 4.A) Área de Intervención:
 • Monitor/a, Técnico en Servicios Socioculturales y a la Comunidad, Atención Socio sanitaria, etc.
 • Monitor de educación no formal (monitor/a de aula matinal, de programas y proyectos en el medio natural, de centros cívicos, de ludotecas, de salas de encuentro, de necesidades especiales, de actividades extraescolares, medioambientales, de museos, de consumo, de talleres no formativos, de colonias y campamentos, de actividades de vacaciones y otras asimilables en el marco del ocio educativo y animación sociocultural.)
— Grupo profesional 4.B) Área de Administración y Gestión:
 • Administrativo/a.
— Grupo profesional 4.C) Área de Servicios y Actividades Auxiliares:
 • Personal de Mantenimiento y Servicios: incluyendo a quienes establecen y atienden las comunicaciones interiores y exteriores, así como quienes realizan funciones auxiliares de reparto, conducción de vehículos, cocina, servicio de camareros/as, gobernante/a, etc.</t>
  </si>
  <si>
    <t>—Grupo profesional 5.A) Área de Intervención:
 • Cuidador/a.
— Grupo profesional 5.B) Área de Administración y Gestión:
 • Personal encargado de tareas administrativas y de gestión de la organización o de uno o varios de los centros de la misma, Auxiliar Administrativo/a.
—Grupo profesional 5.C) Área de Servicios y Actividades Auxiliares:
 • Personal auxiliar: con funciones básicas de servicios con carácter auxiliar, tales como vigilancia de las instalaciones, control de accesos, apertura y cierre de puertas, limpieza de las dependencias, portería, conserjería, recepción de visitas, etc.</t>
  </si>
  <si>
    <t>Intervención Social de Gipuzkoa</t>
  </si>
  <si>
    <t>III Convenio Intervención Social de Gipuzkoa</t>
  </si>
  <si>
    <t>*IPC Gipuzkoa (según I Convenio)</t>
  </si>
  <si>
    <t>IV Convenio Colectivo de Intervención Social de Gipuzkoa para los años 2023-2025</t>
  </si>
  <si>
    <t>Vigencia: años 2019-2020-2021-2022</t>
  </si>
  <si>
    <t>jornada:</t>
  </si>
  <si>
    <t>IPC 2019</t>
  </si>
  <si>
    <t>IPC 2020 + 0,8%</t>
  </si>
  <si>
    <t>IPC 2021</t>
  </si>
  <si>
    <t>* 2024: Grupo 5 único con incremento de 8,39% debido a que se le añade  a las subida del 5,20% un incremento en el SB de 50€ mes (*14 pagas)</t>
  </si>
  <si>
    <t>*2025: el mínimo garantizado IPC 2024 si este fuera mayor</t>
  </si>
  <si>
    <t>2022 €/h</t>
  </si>
  <si>
    <t>2023 €/h</t>
  </si>
  <si>
    <t>2024 €/h</t>
  </si>
  <si>
    <t>2025 €/h</t>
  </si>
  <si>
    <t>Se abonará como paga única y como tarde el 30/03/2026 la diferencia de incremento existente entre: 1. la subida de las tablas y 2. la subida obtenida de aplicar al SB de 2022 el IPC de 2022 (+5,4%), a ese rtdo el IPC de 2023 (+3,3%) y a ese rtdo el IPC de 2024</t>
  </si>
  <si>
    <t>Plus antigüedad (€/año) (14 pagas)</t>
  </si>
  <si>
    <t>*por cada trienio vencido hasta 6 trienios</t>
  </si>
  <si>
    <t>Plus nocturnidad (€/año) (12 pagas)</t>
  </si>
  <si>
    <t>Plus turnicidad (€/año) (12 pagas)</t>
  </si>
  <si>
    <t>Complemento nocturnidad (€/hora efectiva)</t>
  </si>
  <si>
    <t>Plus domingos o festivos (€/hora efectiva)</t>
  </si>
  <si>
    <t>Plus festivos especial sign. (€/hora efectiva)</t>
  </si>
  <si>
    <t>Plus disponibilidad o guardia (€/hora efectiva)</t>
  </si>
  <si>
    <t>Kilometraje (€/km)</t>
  </si>
  <si>
    <t>Ropa de trabajo (€/año)</t>
  </si>
  <si>
    <t>Complementos de responsabilidad:</t>
  </si>
  <si>
    <t>*por tramos de responsabilidad, no por grupos!!! (mirar convenio antiguo para años 2019-2022)</t>
  </si>
  <si>
    <t>I Convenio Intervención Social de Navarra</t>
  </si>
  <si>
    <t>*La subida salarial es la que se refleja en las tablas salariales que se recogen en el anexo. No obstante, si el IPC de Navarra del año anterior fuera superior a la subida salarial establecida en las tablas salariales para ese año, se incrementaron hasta garantizar el IPC de Navarra.</t>
  </si>
  <si>
    <t>Vigencia: desde publicación (o 01/07/2021) hasta el 31/12/2024</t>
  </si>
  <si>
    <t>*A FALTA DE PUBLICARSE EN BON</t>
  </si>
  <si>
    <t>subidas del precio hora:</t>
  </si>
  <si>
    <t>2022 (IPC)</t>
  </si>
  <si>
    <t>2023 (IPC)</t>
  </si>
  <si>
    <t>2024 (IPC)</t>
  </si>
  <si>
    <t>Director de área, director de programa, director de servicio</t>
  </si>
  <si>
    <t>Coordinador, responsable, educador social, técnico de integración social, téc. animación sociocultural, téc. educación infantil, téc. de orientación, psicologo, psicologo terapeuta, trabajador social, profesorado, maestro de taller, economista, téc. en administración y finanzas, graduado social, téc. de RRHH, téc. de comunicación, informático, téc. de calidad.</t>
  </si>
  <si>
    <t>Auxiliar educativo, monitor de programa o taller, auziliar de servicio de ayuda a domicilio, auxiliar sociosanitario, trabajador familiar domiciliaria, auxiliar administrativo, personal de vigilancia y seguridad, mantenimiento titulado.</t>
  </si>
  <si>
    <t>ayudante de cocina, auxiliar de mantenimiento, personal de limpieza y cocina, portería, ordenanza, conserje, almacén, repartidor, telefonista.</t>
  </si>
  <si>
    <t>Pluses y complementos:</t>
  </si>
  <si>
    <r>
      <t>Plus antigüedad x mes (14 pagas)</t>
    </r>
    <r>
      <rPr>
        <sz val="9"/>
        <rFont val="Aptos Narrow"/>
        <family val="2"/>
        <scheme val="minor"/>
      </rPr>
      <t xml:space="preserve"> (devengo desde 01/01/2010)</t>
    </r>
  </si>
  <si>
    <t>Por cada trienio con limite max 5 trienios</t>
  </si>
  <si>
    <t>Plus nocturnidad (bruto anual)</t>
  </si>
  <si>
    <t>Plus turnicidad (bruto anual)</t>
  </si>
  <si>
    <t>Plus sábados, domingos y festivos (x hora efectiva)</t>
  </si>
  <si>
    <t>Plus festivos especial significación (x hora efectiva)</t>
  </si>
  <si>
    <t>Plus de Guardia o Expectativa</t>
  </si>
  <si>
    <t>*mirar convenio</t>
  </si>
  <si>
    <t>Complemento de Dirección de Área (bruto anual) (14 p.)</t>
  </si>
  <si>
    <t>Complemento de Dirección de Servicio (bruto anual) (14 p.)</t>
  </si>
  <si>
    <t>Complemento Coordinación 1 (bruto anual) (14 p.)</t>
  </si>
  <si>
    <t>Complemento Coordinación 2 (bruto anual) (14 p.)</t>
  </si>
  <si>
    <t>Complemento Responsable (bruto anual) (14 p.)</t>
  </si>
  <si>
    <t>Complemento de Psicologo Terapeuta (bruto anual) (14 p.)</t>
  </si>
  <si>
    <t>Convenio Gestores de la Información y Documentación de Gipuzkoa (Bibliotecas)</t>
  </si>
  <si>
    <t>I Convenio Gestores de la Información y Documentación de Gipuzkoa (Bibliotecas)</t>
  </si>
  <si>
    <t>II Convenio Gestores de la Información y Documentación de Gipuzkoa (Bibliotecas)</t>
  </si>
  <si>
    <t>Publicado en Boletín Oficial de Gipuzkoa núm. 95 de 20/05/2022</t>
  </si>
  <si>
    <t>Publicado en Boletín Oficial de Gipuzkoa de 21 de mayo de 2024</t>
  </si>
  <si>
    <r>
      <t xml:space="preserve">Entrará en vigor el </t>
    </r>
    <r>
      <rPr>
        <b/>
        <sz val="11"/>
        <rFont val="Aptos Narrow"/>
        <family val="2"/>
        <scheme val="minor"/>
      </rPr>
      <t>1 de enero de 2021</t>
    </r>
    <r>
      <rPr>
        <sz val="11"/>
        <rFont val="Aptos Narrow"/>
        <family val="2"/>
        <scheme val="minor"/>
      </rPr>
      <t>, independientemente de la fecha de su registro y publicación en el Boletín</t>
    </r>
  </si>
  <si>
    <r>
      <t xml:space="preserve">Entrará en vigor el </t>
    </r>
    <r>
      <rPr>
        <b/>
        <sz val="11"/>
        <rFont val="Aptos Narrow"/>
        <family val="2"/>
        <scheme val="minor"/>
      </rPr>
      <t>1 de enero de 2024</t>
    </r>
    <r>
      <rPr>
        <sz val="11"/>
        <rFont val="Aptos Narrow"/>
        <family val="2"/>
        <scheme val="minor"/>
      </rPr>
      <t>, independientemente de la fecha de su registro y publicación en el Boletín</t>
    </r>
  </si>
  <si>
    <r>
      <t xml:space="preserve">finalizará su vigencia el </t>
    </r>
    <r>
      <rPr>
        <b/>
        <sz val="11"/>
        <rFont val="Aptos Narrow"/>
        <family val="2"/>
        <scheme val="minor"/>
      </rPr>
      <t>31 de diciembre de 2023</t>
    </r>
  </si>
  <si>
    <r>
      <t xml:space="preserve">finalizará su vigencia el </t>
    </r>
    <r>
      <rPr>
        <b/>
        <sz val="11"/>
        <rFont val="Aptos Narrow"/>
        <family val="2"/>
        <scheme val="minor"/>
      </rPr>
      <t>31 de diciembre de 2026</t>
    </r>
  </si>
  <si>
    <t>15 pagas</t>
  </si>
  <si>
    <t>IPC Gipuzkoa + 0,75 (cada año)</t>
  </si>
  <si>
    <t>GrupoI.Jefesde Área</t>
  </si>
  <si>
    <t>GrupoII.TécnicosdeGestión</t>
  </si>
  <si>
    <t>GrupoIII.TécnicosSuperiores</t>
  </si>
  <si>
    <t>GrupoIV.TécnicosEspecialistas</t>
  </si>
  <si>
    <t>GrupoV.Atencióndirecta</t>
  </si>
  <si>
    <t>antigüedad: IPC Gipuzkoa + 0,75 (cada año)</t>
  </si>
  <si>
    <t>*por cada quinquenio vencido</t>
  </si>
  <si>
    <t>Plus Domingo: Por cada hora efectiva de trabajo, el salario se incrementará en 3,5</t>
  </si>
  <si>
    <t>Plus Festivos: Por cada hora efectiva de trabajo, el salario se incrementará en 3,6</t>
  </si>
  <si>
    <t>Plus de coordinación (mensual)</t>
  </si>
  <si>
    <t>vacaciones anual mínimo de 33 días naturales, de los cuales exclusivamente serán 29 laborales</t>
  </si>
  <si>
    <t>DEPORTE CANTABRIA</t>
  </si>
  <si>
    <t>vigencia: hasta 31/12/2028 prórrogable por dos anualidades (2% anual)</t>
  </si>
  <si>
    <t>desde 2025</t>
  </si>
  <si>
    <t>jornada máxima anual:</t>
  </si>
  <si>
    <t>jornada máxima semana:</t>
  </si>
  <si>
    <t>SB anual</t>
  </si>
  <si>
    <t>SB hora</t>
  </si>
  <si>
    <t>hora extra no festiva</t>
  </si>
  <si>
    <t>hora extra festiva</t>
  </si>
  <si>
    <t>plus nocturnidad</t>
  </si>
  <si>
    <t>complem. movilidad anualizado</t>
  </si>
  <si>
    <t>€/h 2027</t>
  </si>
  <si>
    <t>€/h 2028</t>
  </si>
  <si>
    <t>€/h 2029</t>
  </si>
  <si>
    <t>€/h 2030</t>
  </si>
  <si>
    <t>Grupo 1.1.</t>
  </si>
  <si>
    <t>Grupo 2.1. Médico</t>
  </si>
  <si>
    <t>Grupo 2.1. resto</t>
  </si>
  <si>
    <t>Grupo 2.2. DUE</t>
  </si>
  <si>
    <t>Grupo 2.2. resto</t>
  </si>
  <si>
    <t>Grupo 3.1.</t>
  </si>
  <si>
    <t>Grupo 3.2.</t>
  </si>
  <si>
    <t xml:space="preserve">Grupo 4.1. Monitor unidisciplinar y golf </t>
  </si>
  <si>
    <t>Grupo 4.1. resto</t>
  </si>
  <si>
    <t>Grupo 4.2.</t>
  </si>
  <si>
    <t>Grupo 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</si>
</sst>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0\ &quot;€&quot;;[Red]\-#,##0\ &quot;€&quot;"/>
    <numFmt numFmtId="8" formatCode="#,##0.00\ &quot;€&quot;;[Red]\-#,##0.00\ &quot;€&quot;"/>
    <numFmt numFmtId="44" formatCode="_-* #,##0.00\ &quot;€&quot;_-;\-* #,##0.00\ &quot;€&quot;_-;_-* &quot;-&quot;??\ &quot;€&quot;_-;_-@_-"/>
    <numFmt numFmtId="164" formatCode="#,##0.00\ &quot;€&quot;"/>
    <numFmt numFmtId="165" formatCode="###0;###0"/>
    <numFmt numFmtId="166" formatCode="0.0%"/>
    <numFmt numFmtId="167" formatCode="_-[$€-2]\ * #,##0.00_-;\-[$€-2]\ * #,##0.00_-;_-[$€-2]\ * &quot;-&quot;??_-;_-@_-"/>
    <numFmt numFmtId="168" formatCode="\-\&gt;\ #,##0.00\ &quot;€&quot;"/>
  </numFmts>
  <fonts count="34"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0"/>
      <color rgb="FF000000"/>
      <name val="Times New Roman"/>
      <family val="1"/>
    </font>
    <font>
      <sz val="11"/>
      <name val="Aptos Narrow"/>
      <family val="2"/>
      <scheme val="minor"/>
    </font>
    <font>
      <b/>
      <sz val="13"/>
      <name val="Aptos Narrow"/>
      <family val="2"/>
      <scheme val="minor"/>
    </font>
    <font>
      <b/>
      <sz val="14"/>
      <name val="Aptos Narrow"/>
      <family val="2"/>
      <scheme val="minor"/>
    </font>
    <font>
      <b/>
      <sz val="11"/>
      <name val="Aptos Narrow"/>
      <family val="2"/>
      <scheme val="minor"/>
    </font>
    <font>
      <b/>
      <sz val="9"/>
      <name val="Aptos Narrow"/>
      <family val="2"/>
      <scheme val="minor"/>
    </font>
    <font>
      <sz val="10"/>
      <name val="Aptos Narrow"/>
      <family val="2"/>
      <scheme val="minor"/>
    </font>
    <font>
      <i/>
      <sz val="10"/>
      <name val="Aptos Narrow"/>
      <family val="2"/>
      <scheme val="minor"/>
    </font>
    <font>
      <sz val="11"/>
      <color rgb="FF0070C0"/>
      <name val="Aptos Narrow"/>
      <family val="2"/>
      <scheme val="minor"/>
    </font>
    <font>
      <sz val="10"/>
      <color rgb="FFC00000"/>
      <name val="Aptos Narrow"/>
      <family val="2"/>
      <scheme val="minor"/>
    </font>
    <font>
      <sz val="10"/>
      <color theme="9" tint="-0.499984740745262"/>
      <name val="Aptos Narrow"/>
      <family val="2"/>
      <scheme val="minor"/>
    </font>
    <font>
      <sz val="11"/>
      <color rgb="FFC00000"/>
      <name val="Aptos Narrow"/>
      <family val="2"/>
      <scheme val="minor"/>
    </font>
    <font>
      <b/>
      <sz val="11"/>
      <color rgb="FFC00000"/>
      <name val="Aptos Narrow"/>
      <family val="2"/>
      <scheme val="minor"/>
    </font>
    <font>
      <b/>
      <sz val="12"/>
      <name val="Aptos Narrow"/>
      <family val="2"/>
      <scheme val="minor"/>
    </font>
    <font>
      <i/>
      <sz val="11"/>
      <name val="Aptos Narrow"/>
      <family val="2"/>
      <scheme val="minor"/>
    </font>
    <font>
      <i/>
      <sz val="11"/>
      <color rgb="FFC00000"/>
      <name val="Aptos Narrow"/>
      <family val="2"/>
      <scheme val="minor"/>
    </font>
    <font>
      <sz val="11"/>
      <color rgb="FF333333"/>
      <name val="Aptos Narrow"/>
      <family val="2"/>
      <scheme val="minor"/>
    </font>
    <font>
      <b/>
      <sz val="8"/>
      <name val="Aptos Narrow"/>
      <family val="2"/>
      <scheme val="minor"/>
    </font>
    <font>
      <b/>
      <sz val="10"/>
      <name val="Aptos Narrow"/>
      <family val="2"/>
      <scheme val="minor"/>
    </font>
    <font>
      <b/>
      <sz val="11"/>
      <color rgb="FFFF0000"/>
      <name val="Aptos Narrow"/>
      <family val="2"/>
      <scheme val="minor"/>
    </font>
    <font>
      <sz val="11"/>
      <color theme="0" tint="-0.499984740745262"/>
      <name val="Aptos Narrow"/>
      <family val="2"/>
      <scheme val="minor"/>
    </font>
    <font>
      <b/>
      <u/>
      <sz val="11"/>
      <name val="Aptos Narrow"/>
      <family val="2"/>
      <scheme val="minor"/>
    </font>
    <font>
      <u/>
      <sz val="11"/>
      <name val="Aptos Narrow"/>
      <family val="2"/>
      <scheme val="minor"/>
    </font>
    <font>
      <sz val="9"/>
      <name val="Aptos Narrow"/>
      <family val="2"/>
      <scheme val="minor"/>
    </font>
    <font>
      <sz val="10"/>
      <color rgb="FFFF0000"/>
      <name val="Aptos Narrow"/>
      <family val="2"/>
      <scheme val="minor"/>
    </font>
    <font>
      <sz val="11"/>
      <color rgb="FF974706"/>
      <name val="Calibri"/>
      <family val="2"/>
    </font>
    <font>
      <sz val="9"/>
      <color indexed="81"/>
      <name val="Tahoma"/>
      <family val="2"/>
    </font>
    <font>
      <b/>
      <sz val="9"/>
      <color indexed="81"/>
      <name val="Tahoma"/>
      <family val="2"/>
    </font>
  </fonts>
  <fills count="17">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FFFF99"/>
        <bgColor indexed="64"/>
      </patternFill>
    </fill>
    <fill>
      <patternFill patternType="solid">
        <fgColor theme="1" tint="0.249977111117893"/>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EBFAFC"/>
        <bgColor indexed="64"/>
      </patternFill>
    </fill>
    <fill>
      <patternFill patternType="solid">
        <fgColor rgb="FFC1FFC1"/>
        <bgColor indexed="64"/>
      </patternFill>
    </fill>
    <fill>
      <patternFill patternType="solid">
        <fgColor rgb="FFABFFDD"/>
        <bgColor indexed="64"/>
      </patternFill>
    </fill>
    <fill>
      <patternFill patternType="solid">
        <fgColor rgb="FFFFC5C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FF"/>
        <bgColor indexed="64"/>
      </patternFill>
    </fill>
  </fills>
  <borders count="6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rgb="FF000000"/>
      </left>
      <right/>
      <top/>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style="double">
        <color rgb="FF000000"/>
      </top>
      <bottom style="double">
        <color rgb="FF000000"/>
      </bottom>
      <diagonal/>
    </border>
    <border>
      <left style="thin">
        <color rgb="FF000000"/>
      </left>
      <right/>
      <top style="double">
        <color rgb="FF000000"/>
      </top>
      <bottom style="double">
        <color rgb="FF000000"/>
      </bottom>
      <diagonal/>
    </border>
    <border>
      <left style="double">
        <color rgb="FF000000"/>
      </left>
      <right style="thin">
        <color rgb="FF000000"/>
      </right>
      <top style="double">
        <color rgb="FF000000"/>
      </top>
      <bottom style="double">
        <color rgb="FF000000"/>
      </bottom>
      <diagonal/>
    </border>
    <border>
      <left/>
      <right/>
      <top style="double">
        <color rgb="FF000000"/>
      </top>
      <bottom style="double">
        <color rgb="FF000000"/>
      </bottom>
      <diagonal/>
    </border>
    <border>
      <left style="thin">
        <color rgb="FF000000"/>
      </left>
      <right style="thin">
        <color rgb="FF000000"/>
      </right>
      <top style="double">
        <color rgb="FF000000"/>
      </top>
      <bottom/>
      <diagonal/>
    </border>
    <border>
      <left style="thin">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double">
        <color rgb="FF000000"/>
      </left>
      <right style="thin">
        <color rgb="FF000000"/>
      </right>
      <top style="double">
        <color rgb="FF000000"/>
      </top>
      <bottom style="thin">
        <color rgb="FF000000"/>
      </bottom>
      <diagonal/>
    </border>
    <border>
      <left/>
      <right/>
      <top style="double">
        <color rgb="FF000000"/>
      </top>
      <bottom/>
      <diagonal/>
    </border>
    <border>
      <left style="double">
        <color rgb="FF000000"/>
      </left>
      <right style="thin">
        <color rgb="FF000000"/>
      </right>
      <top style="thin">
        <color rgb="FF000000"/>
      </top>
      <bottom style="thin">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uble">
        <color rgb="FF000000"/>
      </left>
      <right style="thin">
        <color rgb="FF000000"/>
      </right>
      <top style="thin">
        <color rgb="FF000000"/>
      </top>
      <bottom style="double">
        <color rgb="FF000000"/>
      </bottom>
      <diagonal/>
    </border>
    <border>
      <left/>
      <right/>
      <top/>
      <bottom style="double">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indexed="64"/>
      </bottom>
      <diagonal/>
    </border>
    <border>
      <left style="double">
        <color auto="1"/>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6" fillId="0" borderId="0"/>
  </cellStyleXfs>
  <cellXfs count="336">
    <xf numFmtId="0" fontId="0" fillId="0" borderId="0" xfId="0"/>
    <xf numFmtId="0" fontId="7" fillId="0" borderId="0" xfId="3" applyFont="1" applyAlignment="1">
      <alignment horizontal="left" vertical="center"/>
    </xf>
    <xf numFmtId="0" fontId="7" fillId="0" borderId="0" xfId="3" applyFont="1" applyAlignment="1">
      <alignment horizontal="center" vertical="center"/>
    </xf>
    <xf numFmtId="0" fontId="8" fillId="2" borderId="1" xfId="3" applyFont="1" applyFill="1" applyBorder="1" applyAlignment="1">
      <alignment horizontal="left" vertical="center"/>
    </xf>
    <xf numFmtId="164" fontId="8" fillId="2" borderId="2" xfId="1" applyNumberFormat="1" applyFont="1" applyFill="1" applyBorder="1" applyAlignment="1">
      <alignment horizontal="left" vertical="center"/>
    </xf>
    <xf numFmtId="164" fontId="7" fillId="0" borderId="0" xfId="3" applyNumberFormat="1" applyFont="1" applyAlignment="1">
      <alignment horizontal="center" vertical="center"/>
    </xf>
    <xf numFmtId="164" fontId="7" fillId="0" borderId="0" xfId="3" applyNumberFormat="1" applyFont="1" applyAlignment="1">
      <alignment horizontal="left" vertical="center"/>
    </xf>
    <xf numFmtId="0" fontId="9" fillId="3" borderId="0" xfId="3" applyFont="1" applyFill="1" applyAlignment="1">
      <alignment horizontal="left" vertical="center"/>
    </xf>
    <xf numFmtId="0" fontId="7" fillId="3" borderId="0" xfId="3" applyFont="1" applyFill="1" applyAlignment="1">
      <alignment horizontal="left" vertical="center"/>
    </xf>
    <xf numFmtId="0" fontId="7" fillId="3" borderId="0" xfId="3" applyFont="1" applyFill="1" applyAlignment="1">
      <alignment horizontal="center" vertical="center"/>
    </xf>
    <xf numFmtId="10" fontId="7" fillId="0" borderId="0" xfId="3" applyNumberFormat="1" applyFont="1" applyAlignment="1">
      <alignment horizontal="center" vertical="center"/>
    </xf>
    <xf numFmtId="0" fontId="2" fillId="4" borderId="0" xfId="3" applyFont="1" applyFill="1" applyAlignment="1">
      <alignment horizontal="center" vertical="center"/>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165" fontId="11" fillId="0" borderId="5" xfId="3" applyNumberFormat="1" applyFont="1" applyBorder="1" applyAlignment="1">
      <alignment horizontal="center" vertical="center" wrapText="1"/>
    </xf>
    <xf numFmtId="165" fontId="11" fillId="0" borderId="6" xfId="3" applyNumberFormat="1" applyFont="1" applyBorder="1" applyAlignment="1">
      <alignment horizontal="center" vertical="center" wrapText="1"/>
    </xf>
    <xf numFmtId="165" fontId="11" fillId="0" borderId="7" xfId="3" applyNumberFormat="1" applyFont="1" applyBorder="1" applyAlignment="1">
      <alignment horizontal="center" vertical="center" wrapText="1"/>
    </xf>
    <xf numFmtId="165" fontId="11" fillId="0" borderId="8" xfId="3" applyNumberFormat="1" applyFont="1" applyBorder="1" applyAlignment="1">
      <alignment horizontal="center" vertical="center" wrapText="1"/>
    </xf>
    <xf numFmtId="165" fontId="11" fillId="0" borderId="9" xfId="3" applyNumberFormat="1" applyFont="1" applyBorder="1" applyAlignment="1">
      <alignment horizontal="center" vertical="center" wrapText="1"/>
    </xf>
    <xf numFmtId="165" fontId="7" fillId="2" borderId="9" xfId="3" applyNumberFormat="1" applyFont="1" applyFill="1" applyBorder="1" applyAlignment="1">
      <alignment horizontal="center" vertical="center" wrapText="1"/>
    </xf>
    <xf numFmtId="0" fontId="12" fillId="0" borderId="0" xfId="3" applyFont="1" applyAlignment="1">
      <alignment horizontal="center" vertical="center" wrapText="1"/>
    </xf>
    <xf numFmtId="0" fontId="7" fillId="0" borderId="3" xfId="3" applyFont="1" applyBorder="1" applyAlignment="1">
      <alignment horizontal="left" vertical="center" wrapText="1"/>
    </xf>
    <xf numFmtId="0" fontId="7" fillId="0" borderId="4" xfId="3" applyFont="1" applyBorder="1" applyAlignment="1">
      <alignment horizontal="left" vertical="center" wrapText="1"/>
    </xf>
    <xf numFmtId="164" fontId="13" fillId="0" borderId="5" xfId="3" applyNumberFormat="1" applyFont="1" applyBorder="1" applyAlignment="1">
      <alignment horizontal="center" vertical="center" wrapText="1"/>
    </xf>
    <xf numFmtId="164" fontId="7" fillId="0" borderId="5" xfId="3" applyNumberFormat="1" applyFont="1" applyBorder="1" applyAlignment="1">
      <alignment horizontal="center" vertical="center" wrapText="1"/>
    </xf>
    <xf numFmtId="164" fontId="7" fillId="0" borderId="6" xfId="3" applyNumberFormat="1" applyFont="1" applyBorder="1" applyAlignment="1">
      <alignment horizontal="center" vertical="center"/>
    </xf>
    <xf numFmtId="164" fontId="7" fillId="0" borderId="10" xfId="3" applyNumberFormat="1" applyFont="1" applyBorder="1" applyAlignment="1">
      <alignment horizontal="center" vertical="center" wrapText="1"/>
    </xf>
    <xf numFmtId="0" fontId="7" fillId="0" borderId="11" xfId="3" applyFont="1" applyBorder="1" applyAlignment="1">
      <alignment horizontal="left" vertical="center"/>
    </xf>
    <xf numFmtId="164" fontId="7" fillId="0" borderId="12" xfId="3" applyNumberFormat="1" applyFont="1" applyBorder="1" applyAlignment="1">
      <alignment horizontal="center" vertical="center" wrapText="1"/>
    </xf>
    <xf numFmtId="10" fontId="7" fillId="0" borderId="0" xfId="2" applyNumberFormat="1" applyFont="1" applyAlignment="1">
      <alignment horizontal="left" vertical="center"/>
    </xf>
    <xf numFmtId="10" fontId="7" fillId="0" borderId="0" xfId="2" applyNumberFormat="1" applyFont="1" applyFill="1" applyBorder="1" applyAlignment="1">
      <alignment horizontal="center" vertical="center"/>
    </xf>
    <xf numFmtId="0" fontId="7" fillId="0" borderId="13" xfId="3" applyFont="1" applyBorder="1" applyAlignment="1">
      <alignment horizontal="left" vertical="center" wrapText="1"/>
    </xf>
    <xf numFmtId="0" fontId="7" fillId="0" borderId="14" xfId="3" applyFont="1" applyBorder="1" applyAlignment="1">
      <alignment horizontal="left" vertical="center" wrapText="1"/>
    </xf>
    <xf numFmtId="0" fontId="7" fillId="0" borderId="15" xfId="3" applyFont="1" applyBorder="1" applyAlignment="1">
      <alignment horizontal="left" vertical="center" wrapText="1"/>
    </xf>
    <xf numFmtId="164" fontId="7" fillId="0" borderId="16" xfId="3" applyNumberFormat="1" applyFont="1" applyBorder="1" applyAlignment="1">
      <alignment horizontal="center" vertical="center" wrapText="1"/>
    </xf>
    <xf numFmtId="164" fontId="14" fillId="0" borderId="6" xfId="3" applyNumberFormat="1" applyFont="1" applyBorder="1" applyAlignment="1">
      <alignment horizontal="center" vertical="center" wrapText="1"/>
    </xf>
    <xf numFmtId="164" fontId="14" fillId="0" borderId="12" xfId="3" applyNumberFormat="1" applyFont="1" applyBorder="1" applyAlignment="1">
      <alignment horizontal="center" vertical="center" wrapText="1"/>
    </xf>
    <xf numFmtId="164" fontId="3" fillId="0" borderId="6" xfId="3" applyNumberFormat="1" applyFont="1" applyBorder="1" applyAlignment="1">
      <alignment horizontal="center" vertical="center" wrapText="1"/>
    </xf>
    <xf numFmtId="164" fontId="7" fillId="0" borderId="17" xfId="3" applyNumberFormat="1" applyFont="1" applyBorder="1" applyAlignment="1">
      <alignment horizontal="center" vertical="center" wrapText="1"/>
    </xf>
    <xf numFmtId="0" fontId="7" fillId="0" borderId="18" xfId="3" applyFont="1" applyBorder="1" applyAlignment="1">
      <alignment horizontal="left" vertical="center"/>
    </xf>
    <xf numFmtId="164" fontId="14" fillId="0" borderId="19" xfId="3" applyNumberFormat="1" applyFont="1" applyBorder="1" applyAlignment="1">
      <alignment horizontal="center" vertical="center" wrapText="1"/>
    </xf>
    <xf numFmtId="164" fontId="7" fillId="0" borderId="19" xfId="3" applyNumberFormat="1" applyFont="1" applyBorder="1" applyAlignment="1">
      <alignment horizontal="center" vertical="center" wrapText="1"/>
    </xf>
    <xf numFmtId="0" fontId="7" fillId="0" borderId="20" xfId="3" applyFont="1" applyBorder="1" applyAlignment="1">
      <alignment horizontal="left" vertical="center"/>
    </xf>
    <xf numFmtId="0" fontId="12" fillId="0" borderId="21" xfId="3" applyFont="1" applyBorder="1" applyAlignment="1">
      <alignment horizontal="left" vertical="center" wrapText="1"/>
    </xf>
    <xf numFmtId="0" fontId="12" fillId="0" borderId="22" xfId="3" applyFont="1" applyBorder="1" applyAlignment="1">
      <alignment horizontal="left" vertical="center" wrapText="1"/>
    </xf>
    <xf numFmtId="0" fontId="12" fillId="0" borderId="23" xfId="3" applyFont="1" applyBorder="1" applyAlignment="1">
      <alignment horizontal="left" vertical="center" wrapText="1"/>
    </xf>
    <xf numFmtId="0" fontId="7" fillId="0" borderId="24" xfId="3" applyFont="1" applyBorder="1" applyAlignment="1">
      <alignment horizontal="left" vertical="center"/>
    </xf>
    <xf numFmtId="0" fontId="12" fillId="0" borderId="25" xfId="3" applyFont="1" applyBorder="1" applyAlignment="1">
      <alignment horizontal="left" vertical="center" wrapText="1"/>
    </xf>
    <xf numFmtId="0" fontId="12" fillId="0" borderId="0" xfId="3" applyFont="1" applyAlignment="1">
      <alignment horizontal="left" vertical="center" wrapText="1"/>
    </xf>
    <xf numFmtId="0" fontId="12" fillId="0" borderId="26" xfId="3" applyFont="1" applyBorder="1" applyAlignment="1">
      <alignment horizontal="left" vertical="center" wrapText="1"/>
    </xf>
    <xf numFmtId="0" fontId="7" fillId="0" borderId="27" xfId="3" applyFont="1" applyBorder="1" applyAlignment="1">
      <alignment horizontal="left" vertical="center"/>
    </xf>
    <xf numFmtId="0" fontId="12" fillId="0" borderId="28" xfId="3" applyFont="1" applyBorder="1" applyAlignment="1">
      <alignment horizontal="left" vertical="center" wrapText="1"/>
    </xf>
    <xf numFmtId="0" fontId="12" fillId="0" borderId="29" xfId="3" applyFont="1" applyBorder="1" applyAlignment="1">
      <alignment horizontal="left" vertical="center" wrapText="1"/>
    </xf>
    <xf numFmtId="0" fontId="12" fillId="0" borderId="30" xfId="3" applyFont="1" applyBorder="1" applyAlignment="1">
      <alignment horizontal="left" vertical="center" wrapText="1"/>
    </xf>
    <xf numFmtId="0" fontId="7" fillId="0" borderId="5" xfId="3" applyFont="1" applyBorder="1" applyAlignment="1">
      <alignment horizontal="left" vertical="center" wrapText="1"/>
    </xf>
    <xf numFmtId="0" fontId="12" fillId="0" borderId="6" xfId="3" quotePrefix="1" applyFont="1" applyBorder="1" applyAlignment="1">
      <alignment horizontal="left" vertical="center" wrapText="1"/>
    </xf>
    <xf numFmtId="0" fontId="12" fillId="0" borderId="31" xfId="3" quotePrefix="1" applyFont="1" applyBorder="1" applyAlignment="1">
      <alignment horizontal="left" vertical="center" wrapText="1"/>
    </xf>
    <xf numFmtId="0" fontId="12" fillId="0" borderId="32" xfId="3" quotePrefix="1" applyFont="1" applyBorder="1" applyAlignment="1">
      <alignment horizontal="left" vertical="center" wrapText="1"/>
    </xf>
    <xf numFmtId="0" fontId="7" fillId="0" borderId="5" xfId="3" applyFont="1" applyBorder="1" applyAlignment="1">
      <alignment horizontal="left" vertical="center"/>
    </xf>
    <xf numFmtId="0" fontId="12" fillId="0" borderId="6" xfId="3" applyFont="1"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12" fillId="0" borderId="5" xfId="3" quotePrefix="1" applyFont="1" applyBorder="1" applyAlignment="1">
      <alignment horizontal="left" vertical="center" wrapText="1"/>
    </xf>
    <xf numFmtId="0" fontId="12" fillId="0" borderId="31" xfId="3" applyFont="1" applyBorder="1" applyAlignment="1">
      <alignment horizontal="left" vertical="center"/>
    </xf>
    <xf numFmtId="0" fontId="12" fillId="0" borderId="32" xfId="3" applyFont="1" applyBorder="1" applyAlignment="1">
      <alignment horizontal="left" vertical="center"/>
    </xf>
    <xf numFmtId="10" fontId="7" fillId="0" borderId="0" xfId="3" applyNumberFormat="1" applyFont="1" applyAlignment="1">
      <alignment horizontal="left" vertical="center"/>
    </xf>
    <xf numFmtId="9" fontId="7" fillId="0" borderId="0" xfId="3" applyNumberFormat="1" applyFont="1" applyAlignment="1">
      <alignment horizontal="center" vertical="center"/>
    </xf>
    <xf numFmtId="0" fontId="17" fillId="0" borderId="0" xfId="3" applyFont="1" applyAlignment="1">
      <alignment horizontal="left" vertical="center"/>
    </xf>
    <xf numFmtId="0" fontId="17" fillId="0" borderId="0" xfId="0" applyFont="1"/>
    <xf numFmtId="0" fontId="4" fillId="0" borderId="33" xfId="0" applyFont="1" applyBorder="1"/>
    <xf numFmtId="1" fontId="7" fillId="0" borderId="0" xfId="3" applyNumberFormat="1" applyFont="1" applyAlignment="1">
      <alignment horizontal="left" vertical="center"/>
    </xf>
    <xf numFmtId="0" fontId="7" fillId="0" borderId="0" xfId="3" applyFont="1" applyAlignment="1">
      <alignment horizontal="right" vertical="center"/>
    </xf>
    <xf numFmtId="0" fontId="7" fillId="0" borderId="33" xfId="3" applyFont="1" applyBorder="1" applyAlignment="1">
      <alignment horizontal="left" vertical="center"/>
    </xf>
    <xf numFmtId="0" fontId="7" fillId="0" borderId="33" xfId="3" applyFont="1" applyBorder="1" applyAlignment="1">
      <alignment horizontal="center" vertical="center"/>
    </xf>
    <xf numFmtId="9" fontId="7" fillId="0" borderId="33" xfId="3" applyNumberFormat="1" applyFont="1" applyBorder="1" applyAlignment="1">
      <alignment horizontal="center" vertical="center"/>
    </xf>
    <xf numFmtId="166" fontId="7" fillId="0" borderId="0" xfId="3" applyNumberFormat="1" applyFont="1" applyAlignment="1">
      <alignment horizontal="center" vertical="center"/>
    </xf>
    <xf numFmtId="0" fontId="10" fillId="0" borderId="13" xfId="3" applyFont="1" applyBorder="1" applyAlignment="1">
      <alignment horizontal="center" vertical="center" wrapText="1"/>
    </xf>
    <xf numFmtId="165" fontId="10" fillId="0" borderId="13" xfId="3" applyNumberFormat="1" applyFont="1" applyBorder="1" applyAlignment="1">
      <alignment horizontal="center" vertical="center" wrapText="1"/>
    </xf>
    <xf numFmtId="165" fontId="18" fillId="0" borderId="34" xfId="3" applyNumberFormat="1" applyFont="1" applyBorder="1" applyAlignment="1">
      <alignment horizontal="center" vertical="center" wrapText="1"/>
    </xf>
    <xf numFmtId="165" fontId="18" fillId="0" borderId="35" xfId="3" applyNumberFormat="1" applyFont="1" applyBorder="1" applyAlignment="1">
      <alignment horizontal="center" vertical="center" wrapText="1"/>
    </xf>
    <xf numFmtId="165" fontId="18" fillId="0" borderId="13" xfId="3" applyNumberFormat="1" applyFont="1" applyBorder="1" applyAlignment="1">
      <alignment horizontal="center" vertical="center" wrapText="1"/>
    </xf>
    <xf numFmtId="0" fontId="7" fillId="0" borderId="36" xfId="3" applyFont="1" applyBorder="1" applyAlignment="1">
      <alignment horizontal="center" vertical="center"/>
    </xf>
    <xf numFmtId="0" fontId="10" fillId="5" borderId="5" xfId="3" applyFont="1" applyFill="1" applyBorder="1" applyAlignment="1">
      <alignment horizontal="center" vertical="center"/>
    </xf>
    <xf numFmtId="0" fontId="7" fillId="0" borderId="37" xfId="3" applyFont="1" applyBorder="1" applyAlignment="1">
      <alignment horizontal="left" vertical="center" wrapText="1"/>
    </xf>
    <xf numFmtId="164" fontId="7" fillId="0" borderId="37" xfId="3" applyNumberFormat="1" applyFont="1" applyBorder="1" applyAlignment="1">
      <alignment horizontal="center" vertical="center" wrapText="1"/>
    </xf>
    <xf numFmtId="164" fontId="7" fillId="0" borderId="38" xfId="3" applyNumberFormat="1" applyFont="1" applyBorder="1" applyAlignment="1">
      <alignment horizontal="center" vertical="center" wrapText="1"/>
    </xf>
    <xf numFmtId="164" fontId="7" fillId="0" borderId="39" xfId="3" applyNumberFormat="1" applyFont="1" applyBorder="1" applyAlignment="1">
      <alignment horizontal="center" vertical="center" wrapText="1"/>
    </xf>
    <xf numFmtId="44" fontId="7" fillId="0" borderId="40" xfId="1" applyFont="1" applyFill="1" applyBorder="1" applyAlignment="1">
      <alignment horizontal="left" vertical="center"/>
    </xf>
    <xf numFmtId="0" fontId="3" fillId="0" borderId="0" xfId="3" applyFont="1" applyAlignment="1">
      <alignment horizontal="left" vertical="center"/>
    </xf>
    <xf numFmtId="0" fontId="7" fillId="0" borderId="41" xfId="3" applyFont="1" applyBorder="1" applyAlignment="1">
      <alignment horizontal="left" vertical="center" wrapText="1"/>
    </xf>
    <xf numFmtId="0" fontId="7" fillId="0" borderId="42" xfId="3" applyFont="1" applyBorder="1" applyAlignment="1">
      <alignment horizontal="left" vertical="center" wrapText="1"/>
    </xf>
    <xf numFmtId="164" fontId="7" fillId="0" borderId="42" xfId="3" applyNumberFormat="1" applyFont="1" applyBorder="1" applyAlignment="1">
      <alignment horizontal="center" vertical="center" wrapText="1"/>
    </xf>
    <xf numFmtId="164" fontId="7" fillId="0" borderId="43" xfId="3" applyNumberFormat="1" applyFont="1" applyBorder="1" applyAlignment="1">
      <alignment horizontal="center" vertical="center" wrapText="1"/>
    </xf>
    <xf numFmtId="164" fontId="7" fillId="0" borderId="44" xfId="3" applyNumberFormat="1" applyFont="1" applyBorder="1" applyAlignment="1">
      <alignment horizontal="center" vertical="center" wrapText="1"/>
    </xf>
    <xf numFmtId="44" fontId="7" fillId="0" borderId="45" xfId="1" applyFont="1" applyFill="1" applyBorder="1" applyAlignment="1">
      <alignment horizontal="left" vertical="center"/>
    </xf>
    <xf numFmtId="164" fontId="7" fillId="0" borderId="3" xfId="3" applyNumberFormat="1" applyFont="1" applyBorder="1" applyAlignment="1">
      <alignment horizontal="center" vertical="center" wrapText="1"/>
    </xf>
    <xf numFmtId="164" fontId="7" fillId="0" borderId="4" xfId="3" applyNumberFormat="1" applyFont="1" applyBorder="1" applyAlignment="1">
      <alignment horizontal="center" vertical="center" wrapText="1"/>
    </xf>
    <xf numFmtId="164" fontId="7" fillId="0" borderId="46" xfId="3" applyNumberFormat="1" applyFont="1" applyBorder="1" applyAlignment="1">
      <alignment horizontal="center" vertical="center" wrapText="1"/>
    </xf>
    <xf numFmtId="44" fontId="7" fillId="0" borderId="0" xfId="1" applyFont="1" applyFill="1" applyBorder="1" applyAlignment="1">
      <alignment horizontal="left" vertical="center"/>
    </xf>
    <xf numFmtId="0" fontId="7" fillId="0" borderId="47" xfId="3" applyFont="1" applyBorder="1" applyAlignment="1">
      <alignment horizontal="left" vertical="center" wrapText="1"/>
    </xf>
    <xf numFmtId="0" fontId="7" fillId="0" borderId="48" xfId="3" applyFont="1" applyBorder="1" applyAlignment="1">
      <alignment horizontal="left" vertical="center" wrapText="1"/>
    </xf>
    <xf numFmtId="164" fontId="7" fillId="0" borderId="48" xfId="3" applyNumberFormat="1" applyFont="1" applyBorder="1" applyAlignment="1">
      <alignment horizontal="center" vertical="center" wrapText="1"/>
    </xf>
    <xf numFmtId="164" fontId="7" fillId="0" borderId="49" xfId="3" applyNumberFormat="1" applyFont="1" applyBorder="1" applyAlignment="1">
      <alignment horizontal="center" vertical="center" wrapText="1"/>
    </xf>
    <xf numFmtId="164" fontId="7" fillId="0" borderId="50" xfId="3" applyNumberFormat="1" applyFont="1" applyBorder="1" applyAlignment="1">
      <alignment horizontal="center" vertical="center" wrapText="1"/>
    </xf>
    <xf numFmtId="44" fontId="7" fillId="0" borderId="51" xfId="1" applyFont="1" applyFill="1" applyBorder="1" applyAlignment="1">
      <alignment horizontal="left" vertical="center"/>
    </xf>
    <xf numFmtId="0" fontId="17" fillId="0" borderId="3" xfId="3" applyFont="1" applyBorder="1" applyAlignment="1">
      <alignment horizontal="left" vertical="center" wrapText="1"/>
    </xf>
    <xf numFmtId="164" fontId="17" fillId="0" borderId="49" xfId="3" applyNumberFormat="1" applyFont="1" applyBorder="1" applyAlignment="1">
      <alignment horizontal="center" vertical="center" wrapText="1"/>
    </xf>
    <xf numFmtId="0" fontId="7" fillId="0" borderId="29" xfId="3" applyFont="1" applyBorder="1" applyAlignment="1">
      <alignment horizontal="center" vertical="center"/>
    </xf>
    <xf numFmtId="0" fontId="12" fillId="0" borderId="0" xfId="3" applyFont="1" applyAlignment="1">
      <alignment horizontal="left" vertical="center"/>
    </xf>
    <xf numFmtId="8" fontId="7" fillId="0" borderId="0" xfId="3" applyNumberFormat="1" applyFont="1" applyAlignment="1">
      <alignment horizontal="center" vertical="center"/>
    </xf>
    <xf numFmtId="44" fontId="7" fillId="0" borderId="0" xfId="1" applyFont="1" applyAlignment="1">
      <alignment horizontal="left" vertical="center"/>
    </xf>
    <xf numFmtId="167" fontId="7" fillId="0" borderId="0" xfId="3" applyNumberFormat="1" applyFont="1" applyAlignment="1">
      <alignment horizontal="left" vertical="center"/>
    </xf>
    <xf numFmtId="6" fontId="7" fillId="0" borderId="0" xfId="3" applyNumberFormat="1" applyFont="1" applyAlignment="1">
      <alignment horizontal="center" vertical="center"/>
    </xf>
    <xf numFmtId="9" fontId="7" fillId="0" borderId="0" xfId="3" applyNumberFormat="1" applyFont="1" applyAlignment="1">
      <alignment horizontal="left" vertical="center"/>
    </xf>
    <xf numFmtId="8" fontId="0" fillId="0" borderId="0" xfId="0" applyNumberFormat="1"/>
    <xf numFmtId="10" fontId="7" fillId="0" borderId="0" xfId="2" applyNumberFormat="1" applyFont="1" applyFill="1" applyBorder="1" applyAlignment="1">
      <alignment horizontal="left" vertical="center"/>
    </xf>
    <xf numFmtId="10" fontId="7" fillId="0" borderId="0" xfId="2" applyNumberFormat="1" applyFont="1" applyAlignment="1">
      <alignment horizontal="center" vertical="center"/>
    </xf>
    <xf numFmtId="10" fontId="0" fillId="0" borderId="0" xfId="0" applyNumberFormat="1" applyAlignment="1">
      <alignment horizontal="center"/>
    </xf>
    <xf numFmtId="0" fontId="0" fillId="0" borderId="5" xfId="0" applyBorder="1" applyAlignment="1">
      <alignment horizontal="center" vertical="center"/>
    </xf>
    <xf numFmtId="0" fontId="4" fillId="0" borderId="5" xfId="0" applyFont="1" applyBorder="1" applyAlignment="1">
      <alignment horizontal="center"/>
    </xf>
    <xf numFmtId="0" fontId="4" fillId="2" borderId="5" xfId="0" applyFont="1" applyFill="1" applyBorder="1" applyAlignment="1">
      <alignment horizontal="center"/>
    </xf>
    <xf numFmtId="0" fontId="10" fillId="0" borderId="0" xfId="3" applyFont="1" applyAlignment="1">
      <alignment horizontal="left" vertical="center"/>
    </xf>
    <xf numFmtId="0" fontId="10" fillId="0" borderId="5" xfId="3" applyFont="1" applyBorder="1" applyAlignment="1">
      <alignment horizontal="left" vertical="center"/>
    </xf>
    <xf numFmtId="0" fontId="7" fillId="0" borderId="5" xfId="3" applyFont="1" applyBorder="1" applyAlignment="1">
      <alignment horizontal="center" vertical="center"/>
    </xf>
    <xf numFmtId="0" fontId="10" fillId="0" borderId="5" xfId="3" applyFont="1" applyBorder="1" applyAlignment="1">
      <alignment horizontal="left" vertical="center"/>
    </xf>
    <xf numFmtId="0" fontId="7" fillId="0" borderId="5" xfId="3" applyFont="1" applyBorder="1" applyAlignment="1">
      <alignment horizontal="left" vertical="center" wrapText="1"/>
    </xf>
    <xf numFmtId="0" fontId="9" fillId="6" borderId="0" xfId="3" applyFont="1" applyFill="1" applyAlignment="1">
      <alignment horizontal="left" vertical="center"/>
    </xf>
    <xf numFmtId="0" fontId="7" fillId="6" borderId="0" xfId="3" applyFont="1" applyFill="1" applyAlignment="1">
      <alignment horizontal="left" vertical="center"/>
    </xf>
    <xf numFmtId="0" fontId="7" fillId="6" borderId="0" xfId="3" applyFont="1" applyFill="1" applyAlignment="1">
      <alignment horizontal="center" vertical="center"/>
    </xf>
    <xf numFmtId="165" fontId="11" fillId="0" borderId="3" xfId="3" applyNumberFormat="1" applyFont="1" applyBorder="1" applyAlignment="1">
      <alignment horizontal="center" vertical="center" wrapText="1"/>
    </xf>
    <xf numFmtId="165" fontId="11" fillId="2" borderId="5" xfId="3" applyNumberFormat="1" applyFont="1" applyFill="1" applyBorder="1" applyAlignment="1">
      <alignment horizontal="center" vertical="center" wrapText="1"/>
    </xf>
    <xf numFmtId="165" fontId="11" fillId="2" borderId="3" xfId="3" applyNumberFormat="1" applyFont="1" applyFill="1" applyBorder="1" applyAlignment="1">
      <alignment horizontal="center" vertical="center" wrapText="1"/>
    </xf>
    <xf numFmtId="164" fontId="14" fillId="0" borderId="3" xfId="3" applyNumberFormat="1" applyFont="1" applyBorder="1" applyAlignment="1">
      <alignment horizontal="center" vertical="center" wrapText="1"/>
    </xf>
    <xf numFmtId="0" fontId="12" fillId="0" borderId="0" xfId="3" applyFont="1" applyAlignment="1">
      <alignment horizontal="center" vertical="center"/>
    </xf>
    <xf numFmtId="165" fontId="11" fillId="0" borderId="5" xfId="3" applyNumberFormat="1" applyFont="1" applyBorder="1" applyAlignment="1">
      <alignment horizontal="center" vertical="center" wrapText="1"/>
    </xf>
    <xf numFmtId="165" fontId="11" fillId="0" borderId="52" xfId="3" applyNumberFormat="1" applyFont="1" applyBorder="1" applyAlignment="1">
      <alignment horizontal="center" vertical="center" wrapText="1"/>
    </xf>
    <xf numFmtId="0" fontId="11" fillId="0" borderId="0" xfId="3" applyFont="1" applyAlignment="1">
      <alignment horizontal="left" vertical="center" wrapText="1"/>
    </xf>
    <xf numFmtId="0" fontId="7" fillId="0" borderId="3" xfId="3" applyFont="1" applyBorder="1" applyAlignment="1">
      <alignment horizontal="left" vertical="center"/>
    </xf>
    <xf numFmtId="164" fontId="7" fillId="0" borderId="53" xfId="3" applyNumberFormat="1" applyFont="1" applyBorder="1" applyAlignment="1">
      <alignment horizontal="center" vertical="center" wrapText="1"/>
    </xf>
    <xf numFmtId="164" fontId="7" fillId="0" borderId="27" xfId="3" applyNumberFormat="1" applyFont="1" applyBorder="1" applyAlignment="1">
      <alignment horizontal="center" vertical="center"/>
    </xf>
    <xf numFmtId="164" fontId="7" fillId="0" borderId="54" xfId="3" applyNumberFormat="1" applyFont="1" applyBorder="1" applyAlignment="1">
      <alignment horizontal="center" vertical="center" wrapText="1"/>
    </xf>
    <xf numFmtId="164" fontId="7" fillId="0" borderId="15" xfId="3" applyNumberFormat="1" applyFont="1" applyBorder="1" applyAlignment="1">
      <alignment horizontal="center" vertical="center" wrapText="1"/>
    </xf>
    <xf numFmtId="164" fontId="7" fillId="0" borderId="5" xfId="3" applyNumberFormat="1" applyFont="1" applyBorder="1" applyAlignment="1">
      <alignment horizontal="center" vertical="center"/>
    </xf>
    <xf numFmtId="164" fontId="7" fillId="0" borderId="52" xfId="3" applyNumberFormat="1" applyFont="1" applyBorder="1" applyAlignment="1">
      <alignment horizontal="center" vertical="center" wrapText="1"/>
    </xf>
    <xf numFmtId="164" fontId="17" fillId="0" borderId="4" xfId="3" applyNumberFormat="1" applyFont="1" applyBorder="1" applyAlignment="1">
      <alignment horizontal="center" vertical="center" wrapText="1"/>
    </xf>
    <xf numFmtId="164" fontId="17" fillId="0" borderId="52" xfId="3" applyNumberFormat="1" applyFont="1" applyBorder="1" applyAlignment="1">
      <alignment horizontal="center" vertical="center" wrapText="1"/>
    </xf>
    <xf numFmtId="164" fontId="17" fillId="0" borderId="3" xfId="3" applyNumberFormat="1" applyFont="1" applyBorder="1" applyAlignment="1">
      <alignment horizontal="center" vertical="center" wrapText="1"/>
    </xf>
    <xf numFmtId="10" fontId="20" fillId="0" borderId="5" xfId="2" applyNumberFormat="1" applyFont="1" applyBorder="1" applyAlignment="1">
      <alignment horizontal="center" vertical="center"/>
    </xf>
    <xf numFmtId="10" fontId="21" fillId="0" borderId="52" xfId="2" applyNumberFormat="1" applyFont="1" applyBorder="1" applyAlignment="1">
      <alignment horizontal="center" vertical="center" wrapText="1"/>
    </xf>
    <xf numFmtId="10" fontId="21" fillId="0" borderId="3" xfId="2" applyNumberFormat="1" applyFont="1" applyBorder="1" applyAlignment="1">
      <alignment horizontal="center" vertical="center" wrapText="1"/>
    </xf>
    <xf numFmtId="164" fontId="3" fillId="0" borderId="4" xfId="3" applyNumberFormat="1" applyFont="1" applyBorder="1" applyAlignment="1">
      <alignment horizontal="center" vertical="center" wrapText="1"/>
    </xf>
    <xf numFmtId="164" fontId="3" fillId="0" borderId="52" xfId="3" applyNumberFormat="1" applyFont="1" applyBorder="1" applyAlignment="1">
      <alignment horizontal="center" vertical="center" wrapText="1"/>
    </xf>
    <xf numFmtId="14" fontId="11" fillId="0" borderId="3" xfId="3" applyNumberFormat="1" applyFont="1" applyBorder="1" applyAlignment="1">
      <alignment horizontal="center" vertical="center" wrapText="1"/>
    </xf>
    <xf numFmtId="14" fontId="11" fillId="7" borderId="3" xfId="3" applyNumberFormat="1" applyFont="1" applyFill="1" applyBorder="1" applyAlignment="1">
      <alignment horizontal="center" vertical="center" wrapText="1"/>
    </xf>
    <xf numFmtId="10" fontId="7" fillId="0" borderId="3" xfId="2" applyNumberFormat="1" applyFont="1" applyBorder="1" applyAlignment="1">
      <alignment horizontal="center" vertical="center" wrapText="1"/>
    </xf>
    <xf numFmtId="168" fontId="17" fillId="0" borderId="0" xfId="3" applyNumberFormat="1" applyFont="1" applyAlignment="1">
      <alignment horizontal="left" vertical="center"/>
    </xf>
    <xf numFmtId="0" fontId="7" fillId="0" borderId="14" xfId="3" applyFont="1" applyBorder="1" applyAlignment="1">
      <alignment horizontal="left" vertical="center" wrapText="1"/>
    </xf>
    <xf numFmtId="164" fontId="3" fillId="0" borderId="3" xfId="3" applyNumberFormat="1" applyFont="1" applyBorder="1" applyAlignment="1">
      <alignment horizontal="center" vertical="center" wrapText="1"/>
    </xf>
    <xf numFmtId="168" fontId="3" fillId="0" borderId="0" xfId="3" applyNumberFormat="1" applyFont="1" applyAlignment="1">
      <alignment horizontal="left" vertical="center"/>
    </xf>
    <xf numFmtId="14" fontId="11" fillId="8" borderId="3" xfId="3" applyNumberFormat="1" applyFont="1" applyFill="1" applyBorder="1" applyAlignment="1">
      <alignment horizontal="center" vertical="center" wrapText="1"/>
    </xf>
    <xf numFmtId="14" fontId="11" fillId="9" borderId="3" xfId="3" applyNumberFormat="1" applyFont="1" applyFill="1" applyBorder="1" applyAlignment="1">
      <alignment horizontal="center" vertical="center" wrapText="1"/>
    </xf>
    <xf numFmtId="14" fontId="11" fillId="9" borderId="13" xfId="3" applyNumberFormat="1" applyFont="1" applyFill="1" applyBorder="1" applyAlignment="1">
      <alignment horizontal="center" vertical="center" wrapText="1"/>
    </xf>
    <xf numFmtId="164" fontId="7" fillId="8" borderId="5" xfId="3" applyNumberFormat="1" applyFont="1" applyFill="1" applyBorder="1" applyAlignment="1">
      <alignment horizontal="center" vertical="center" wrapText="1"/>
    </xf>
    <xf numFmtId="164" fontId="7" fillId="10" borderId="5" xfId="3" applyNumberFormat="1" applyFont="1" applyFill="1" applyBorder="1" applyAlignment="1">
      <alignment horizontal="center" vertical="center" wrapText="1"/>
    </xf>
    <xf numFmtId="9" fontId="7" fillId="0" borderId="5" xfId="3" applyNumberFormat="1" applyFont="1" applyBorder="1" applyAlignment="1">
      <alignment horizontal="center" vertical="center"/>
    </xf>
    <xf numFmtId="0" fontId="7" fillId="8" borderId="0" xfId="3" applyFont="1" applyFill="1" applyAlignment="1">
      <alignment horizontal="center" vertical="center"/>
    </xf>
    <xf numFmtId="3" fontId="22" fillId="0" borderId="0" xfId="0" applyNumberFormat="1" applyFont="1"/>
    <xf numFmtId="14" fontId="7" fillId="0" borderId="29" xfId="3" applyNumberFormat="1" applyFont="1" applyBorder="1" applyAlignment="1">
      <alignment horizontal="center" vertical="center"/>
    </xf>
    <xf numFmtId="0" fontId="0" fillId="0" borderId="0" xfId="0" applyAlignment="1">
      <alignment vertical="center"/>
    </xf>
    <xf numFmtId="44" fontId="0" fillId="0" borderId="0" xfId="1" applyFont="1" applyFill="1"/>
    <xf numFmtId="44" fontId="7" fillId="0" borderId="0" xfId="1" applyFont="1" applyFill="1" applyAlignment="1">
      <alignment horizontal="center" vertical="center"/>
    </xf>
    <xf numFmtId="44" fontId="7" fillId="0" borderId="0" xfId="1" applyFont="1" applyAlignment="1">
      <alignment horizontal="center" vertical="center"/>
    </xf>
    <xf numFmtId="0" fontId="0" fillId="0" borderId="0" xfId="0" applyAlignment="1">
      <alignment horizontal="left" vertical="center"/>
    </xf>
    <xf numFmtId="44" fontId="0" fillId="0" borderId="0" xfId="1" applyFont="1"/>
    <xf numFmtId="44" fontId="17" fillId="0" borderId="0" xfId="1" applyFont="1" applyAlignment="1">
      <alignment horizontal="center" vertical="center"/>
    </xf>
    <xf numFmtId="0" fontId="0" fillId="0" borderId="0" xfId="0" applyAlignment="1">
      <alignment horizontal="left" vertical="center" wrapText="1"/>
    </xf>
    <xf numFmtId="0" fontId="9" fillId="11" borderId="0" xfId="3" applyFont="1" applyFill="1" applyAlignment="1">
      <alignment horizontal="left" vertical="center"/>
    </xf>
    <xf numFmtId="0" fontId="7" fillId="11" borderId="0" xfId="3" applyFont="1" applyFill="1" applyAlignment="1">
      <alignment horizontal="left" vertical="center"/>
    </xf>
    <xf numFmtId="0" fontId="7" fillId="11" borderId="0" xfId="3" applyFont="1" applyFill="1" applyAlignment="1">
      <alignment horizontal="center" vertical="center"/>
    </xf>
    <xf numFmtId="0" fontId="7" fillId="0" borderId="0" xfId="3" applyFont="1" applyAlignment="1">
      <alignment horizontal="left" vertical="center" wrapText="1"/>
    </xf>
    <xf numFmtId="165" fontId="10" fillId="0" borderId="3" xfId="3" applyNumberFormat="1" applyFont="1" applyBorder="1" applyAlignment="1">
      <alignment horizontal="center" vertical="center" wrapText="1"/>
    </xf>
    <xf numFmtId="165" fontId="23" fillId="0" borderId="4" xfId="3" applyNumberFormat="1" applyFont="1" applyBorder="1" applyAlignment="1">
      <alignment horizontal="center" vertical="center" wrapText="1"/>
    </xf>
    <xf numFmtId="0" fontId="7" fillId="5" borderId="5" xfId="3" applyFont="1" applyFill="1" applyBorder="1" applyAlignment="1">
      <alignment horizontal="center" vertical="center"/>
    </xf>
    <xf numFmtId="165" fontId="10" fillId="2" borderId="52" xfId="3" applyNumberFormat="1" applyFont="1" applyFill="1" applyBorder="1" applyAlignment="1">
      <alignment horizontal="center" vertical="center" wrapText="1"/>
    </xf>
    <xf numFmtId="165" fontId="10" fillId="2" borderId="34" xfId="3" applyNumberFormat="1" applyFont="1" applyFill="1" applyBorder="1" applyAlignment="1">
      <alignment horizontal="center" vertical="center" wrapText="1"/>
    </xf>
    <xf numFmtId="0" fontId="24" fillId="2" borderId="20" xfId="3" applyFont="1" applyFill="1" applyBorder="1" applyAlignment="1">
      <alignment horizontal="center" vertical="center" wrapText="1"/>
    </xf>
    <xf numFmtId="165" fontId="10" fillId="12" borderId="5" xfId="3" applyNumberFormat="1" applyFont="1" applyFill="1" applyBorder="1" applyAlignment="1">
      <alignment horizontal="center" vertical="center" wrapText="1"/>
    </xf>
    <xf numFmtId="165" fontId="10" fillId="0" borderId="4" xfId="3" applyNumberFormat="1" applyFont="1" applyBorder="1" applyAlignment="1">
      <alignment horizontal="center" vertical="center" wrapText="1"/>
    </xf>
    <xf numFmtId="0" fontId="10" fillId="0" borderId="5" xfId="3" applyFont="1" applyBorder="1" applyAlignment="1">
      <alignment horizontal="center" vertical="center" wrapText="1"/>
    </xf>
    <xf numFmtId="164" fontId="3" fillId="0" borderId="5" xfId="3" applyNumberFormat="1" applyFont="1" applyBorder="1" applyAlignment="1">
      <alignment horizontal="center" vertical="center" wrapText="1"/>
    </xf>
    <xf numFmtId="0" fontId="7" fillId="0" borderId="55" xfId="3" applyFont="1" applyBorder="1" applyAlignment="1">
      <alignment horizontal="left" vertical="center" wrapText="1"/>
    </xf>
    <xf numFmtId="0" fontId="4" fillId="0" borderId="0" xfId="0" applyFont="1"/>
    <xf numFmtId="0" fontId="4" fillId="0" borderId="0" xfId="0" applyFont="1" applyAlignment="1">
      <alignment horizontal="center"/>
    </xf>
    <xf numFmtId="0" fontId="0" fillId="0" borderId="0" xfId="0" applyAlignment="1">
      <alignment horizontal="right"/>
    </xf>
    <xf numFmtId="0" fontId="0" fillId="0" borderId="0" xfId="0" applyAlignment="1">
      <alignment horizontal="center"/>
    </xf>
    <xf numFmtId="10" fontId="0" fillId="0" borderId="0" xfId="0" applyNumberFormat="1"/>
    <xf numFmtId="0" fontId="10" fillId="0" borderId="0" xfId="3" applyFont="1" applyAlignment="1">
      <alignment horizontal="center" vertical="center"/>
    </xf>
    <xf numFmtId="9" fontId="0" fillId="0" borderId="0" xfId="0" applyNumberFormat="1"/>
    <xf numFmtId="0" fontId="4" fillId="0" borderId="0" xfId="0" applyFont="1" applyAlignment="1">
      <alignment horizontal="left"/>
    </xf>
    <xf numFmtId="17" fontId="10" fillId="0" borderId="0" xfId="3" applyNumberFormat="1" applyFont="1" applyAlignment="1">
      <alignment horizontal="left" vertical="center"/>
    </xf>
    <xf numFmtId="0" fontId="0" fillId="0" borderId="5" xfId="0" applyBorder="1" applyAlignment="1">
      <alignment horizontal="left"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164" fontId="0" fillId="0" borderId="5" xfId="1" applyNumberFormat="1" applyFont="1" applyBorder="1" applyAlignment="1">
      <alignment vertical="center" wrapText="1"/>
    </xf>
    <xf numFmtId="164" fontId="0" fillId="0" borderId="6" xfId="0" applyNumberFormat="1" applyBorder="1" applyAlignment="1">
      <alignment horizontal="center" vertical="center"/>
    </xf>
    <xf numFmtId="164" fontId="0" fillId="0" borderId="56" xfId="1" applyNumberFormat="1" applyFont="1" applyBorder="1" applyAlignment="1">
      <alignment vertical="center" wrapText="1"/>
    </xf>
    <xf numFmtId="164" fontId="0" fillId="0" borderId="5" xfId="0" applyNumberFormat="1" applyBorder="1" applyAlignment="1">
      <alignment horizontal="center" vertical="center"/>
    </xf>
    <xf numFmtId="10" fontId="7" fillId="0" borderId="57" xfId="2" applyNumberFormat="1" applyFont="1" applyBorder="1" applyAlignment="1">
      <alignment horizontal="center" vertical="center"/>
    </xf>
    <xf numFmtId="0" fontId="7" fillId="0" borderId="56" xfId="3" applyFont="1"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vertical="center"/>
    </xf>
    <xf numFmtId="164" fontId="0" fillId="0" borderId="5" xfId="0" applyNumberFormat="1" applyBorder="1" applyAlignment="1">
      <alignment vertical="center"/>
    </xf>
    <xf numFmtId="164" fontId="0" fillId="0" borderId="56" xfId="0" applyNumberFormat="1" applyBorder="1" applyAlignment="1">
      <alignment vertical="center"/>
    </xf>
    <xf numFmtId="164" fontId="0" fillId="0" borderId="0" xfId="0" applyNumberFormat="1" applyAlignment="1">
      <alignment horizontal="center" vertical="center"/>
    </xf>
    <xf numFmtId="0" fontId="3" fillId="0" borderId="0" xfId="0" applyFont="1"/>
    <xf numFmtId="0" fontId="25" fillId="0" borderId="0" xfId="3" applyFont="1" applyAlignment="1">
      <alignment horizontal="left" vertical="center"/>
    </xf>
    <xf numFmtId="10" fontId="3" fillId="0" borderId="0" xfId="0" applyNumberFormat="1" applyFont="1"/>
    <xf numFmtId="10" fontId="0" fillId="0" borderId="22" xfId="0" applyNumberFormat="1" applyBorder="1"/>
    <xf numFmtId="9" fontId="0" fillId="0" borderId="0" xfId="0" applyNumberFormat="1" applyAlignment="1">
      <alignment horizontal="center"/>
    </xf>
    <xf numFmtId="10" fontId="0" fillId="2" borderId="22" xfId="0" applyNumberFormat="1" applyFill="1" applyBorder="1"/>
    <xf numFmtId="0" fontId="7" fillId="0" borderId="0" xfId="0" applyFont="1"/>
    <xf numFmtId="0" fontId="0" fillId="0" borderId="0" xfId="0" applyAlignment="1">
      <alignment wrapText="1"/>
    </xf>
    <xf numFmtId="0" fontId="9" fillId="0" borderId="0" xfId="3" applyFont="1" applyAlignment="1">
      <alignment horizontal="left" vertical="center"/>
    </xf>
    <xf numFmtId="0" fontId="19" fillId="0" borderId="0" xfId="3" applyFont="1" applyAlignment="1">
      <alignment horizontal="left" vertical="center"/>
    </xf>
    <xf numFmtId="0" fontId="7" fillId="2" borderId="5" xfId="3" applyFont="1" applyFill="1" applyBorder="1" applyAlignment="1">
      <alignment horizontal="center" vertical="center"/>
    </xf>
    <xf numFmtId="0" fontId="7" fillId="2" borderId="5" xfId="3" applyFont="1" applyFill="1" applyBorder="1" applyAlignment="1">
      <alignment horizontal="left" vertical="center" wrapText="1"/>
    </xf>
    <xf numFmtId="0" fontId="7" fillId="0" borderId="4" xfId="3" applyFont="1" applyBorder="1" applyAlignment="1">
      <alignment horizontal="left" vertical="center"/>
    </xf>
    <xf numFmtId="10" fontId="17" fillId="0" borderId="0" xfId="3" applyNumberFormat="1" applyFont="1" applyAlignment="1">
      <alignment horizontal="left" vertical="center"/>
    </xf>
    <xf numFmtId="0" fontId="10" fillId="0" borderId="0" xfId="3" applyFont="1" applyAlignment="1">
      <alignment horizontal="right" vertical="center"/>
    </xf>
    <xf numFmtId="3" fontId="0" fillId="0" borderId="0" xfId="0" applyNumberFormat="1"/>
    <xf numFmtId="0" fontId="26" fillId="0" borderId="0" xfId="3" applyFont="1" applyAlignment="1">
      <alignment horizontal="right" vertical="center"/>
    </xf>
    <xf numFmtId="3" fontId="26" fillId="0" borderId="0" xfId="0" applyNumberFormat="1" applyFont="1"/>
    <xf numFmtId="0" fontId="27" fillId="0" borderId="0" xfId="3" applyFont="1" applyAlignment="1">
      <alignment horizontal="left" vertical="center"/>
    </xf>
    <xf numFmtId="4" fontId="0" fillId="0" borderId="0" xfId="0" applyNumberFormat="1"/>
    <xf numFmtId="0" fontId="9" fillId="13" borderId="0" xfId="3" applyFont="1" applyFill="1" applyAlignment="1">
      <alignment horizontal="left" vertical="center"/>
    </xf>
    <xf numFmtId="0" fontId="7" fillId="13" borderId="0" xfId="3" applyFont="1" applyFill="1" applyAlignment="1">
      <alignment horizontal="left" vertical="center"/>
    </xf>
    <xf numFmtId="0" fontId="7" fillId="13" borderId="0" xfId="3" applyFont="1" applyFill="1" applyAlignment="1">
      <alignment horizontal="center" vertical="center"/>
    </xf>
    <xf numFmtId="0" fontId="7" fillId="0" borderId="6" xfId="3" applyFont="1" applyBorder="1" applyAlignment="1">
      <alignment horizontal="left" vertical="center"/>
    </xf>
    <xf numFmtId="0" fontId="7" fillId="0" borderId="32" xfId="3" applyFont="1" applyBorder="1" applyAlignment="1">
      <alignment horizontal="left" vertical="center"/>
    </xf>
    <xf numFmtId="0" fontId="7" fillId="0" borderId="0" xfId="3" quotePrefix="1" applyFont="1" applyAlignment="1">
      <alignment horizontal="left" vertical="center"/>
    </xf>
    <xf numFmtId="0" fontId="7" fillId="0" borderId="0" xfId="3" applyFont="1" applyAlignment="1">
      <alignment horizontal="left" vertical="top" wrapText="1"/>
    </xf>
    <xf numFmtId="0" fontId="10" fillId="2" borderId="0" xfId="3" applyFont="1" applyFill="1" applyAlignment="1">
      <alignment horizontal="left" vertical="center"/>
    </xf>
    <xf numFmtId="0" fontId="7" fillId="2" borderId="0" xfId="3" applyFont="1" applyFill="1" applyAlignment="1">
      <alignment horizontal="left" vertical="center"/>
    </xf>
    <xf numFmtId="10" fontId="24" fillId="0" borderId="5" xfId="3" applyNumberFormat="1" applyFont="1" applyBorder="1" applyAlignment="1">
      <alignment horizontal="center" vertical="center" wrapText="1"/>
    </xf>
    <xf numFmtId="9" fontId="7" fillId="9" borderId="0" xfId="3" applyNumberFormat="1" applyFont="1" applyFill="1" applyAlignment="1">
      <alignment horizontal="center" vertical="center"/>
    </xf>
    <xf numFmtId="10" fontId="7" fillId="9" borderId="0" xfId="3" applyNumberFormat="1" applyFont="1" applyFill="1" applyAlignment="1">
      <alignment horizontal="center" vertical="center"/>
    </xf>
    <xf numFmtId="165" fontId="10" fillId="2" borderId="3" xfId="3" applyNumberFormat="1" applyFont="1" applyFill="1" applyBorder="1" applyAlignment="1">
      <alignment horizontal="center" vertical="center" wrapText="1"/>
    </xf>
    <xf numFmtId="165" fontId="10" fillId="0" borderId="5" xfId="3" applyNumberFormat="1" applyFont="1" applyBorder="1" applyAlignment="1">
      <alignment horizontal="center" vertical="center" wrapText="1"/>
    </xf>
    <xf numFmtId="165" fontId="7" fillId="0" borderId="0" xfId="3" applyNumberFormat="1" applyFont="1" applyAlignment="1">
      <alignment horizontal="left" vertical="center"/>
    </xf>
    <xf numFmtId="44" fontId="7" fillId="0" borderId="5" xfId="1" applyFont="1" applyBorder="1" applyAlignment="1">
      <alignment horizontal="right" vertical="center"/>
    </xf>
    <xf numFmtId="164" fontId="7" fillId="0" borderId="5" xfId="3" applyNumberFormat="1" applyFont="1" applyBorder="1" applyAlignment="1">
      <alignment horizontal="right" vertical="center"/>
    </xf>
    <xf numFmtId="164" fontId="7" fillId="0" borderId="58" xfId="3" applyNumberFormat="1" applyFont="1" applyBorder="1" applyAlignment="1">
      <alignment horizontal="center" vertical="center" wrapText="1"/>
    </xf>
    <xf numFmtId="0" fontId="10" fillId="0" borderId="21" xfId="3" applyFont="1" applyBorder="1" applyAlignment="1">
      <alignment horizontal="left" vertical="center"/>
    </xf>
    <xf numFmtId="0" fontId="7" fillId="0" borderId="22" xfId="3" applyFont="1" applyBorder="1" applyAlignment="1">
      <alignment horizontal="left" vertical="center"/>
    </xf>
    <xf numFmtId="0" fontId="7" fillId="0" borderId="23" xfId="3" applyFont="1" applyBorder="1" applyAlignment="1">
      <alignment horizontal="left" vertical="center"/>
    </xf>
    <xf numFmtId="0" fontId="7" fillId="0" borderId="25" xfId="3" applyFont="1" applyBorder="1" applyAlignment="1">
      <alignment horizontal="left" vertical="center"/>
    </xf>
    <xf numFmtId="0" fontId="7" fillId="0" borderId="26" xfId="3" applyFont="1" applyBorder="1" applyAlignment="1">
      <alignment horizontal="left" vertical="center"/>
    </xf>
    <xf numFmtId="0" fontId="10" fillId="14" borderId="25" xfId="3" applyFont="1" applyFill="1" applyBorder="1" applyAlignment="1">
      <alignment horizontal="left" vertical="center"/>
    </xf>
    <xf numFmtId="17" fontId="10" fillId="14" borderId="29" xfId="3" applyNumberFormat="1" applyFont="1" applyFill="1" applyBorder="1" applyAlignment="1">
      <alignment horizontal="left" vertical="center"/>
    </xf>
    <xf numFmtId="17" fontId="10" fillId="9" borderId="29" xfId="3" applyNumberFormat="1" applyFont="1" applyFill="1" applyBorder="1" applyAlignment="1">
      <alignment horizontal="left" vertical="center"/>
    </xf>
    <xf numFmtId="0" fontId="12" fillId="0" borderId="26" xfId="3" quotePrefix="1" applyFont="1" applyBorder="1" applyAlignment="1">
      <alignment vertical="center" wrapText="1"/>
    </xf>
    <xf numFmtId="0" fontId="12" fillId="0" borderId="0" xfId="3" quotePrefix="1" applyFont="1" applyAlignment="1">
      <alignment vertical="center" wrapText="1"/>
    </xf>
    <xf numFmtId="10" fontId="7" fillId="0" borderId="0" xfId="2" applyNumberFormat="1" applyFont="1" applyBorder="1" applyAlignment="1">
      <alignment horizontal="left" vertical="center"/>
    </xf>
    <xf numFmtId="44" fontId="7" fillId="0" borderId="25" xfId="1" applyFont="1" applyBorder="1" applyAlignment="1">
      <alignment horizontal="left" vertical="center"/>
    </xf>
    <xf numFmtId="44" fontId="7" fillId="0" borderId="0" xfId="1" applyFont="1" applyBorder="1" applyAlignment="1">
      <alignment horizontal="left" vertical="center"/>
    </xf>
    <xf numFmtId="10" fontId="7" fillId="0" borderId="26" xfId="2" applyNumberFormat="1" applyFont="1" applyBorder="1" applyAlignment="1">
      <alignment horizontal="right" vertical="center"/>
    </xf>
    <xf numFmtId="0" fontId="7" fillId="0" borderId="0" xfId="3" applyFont="1" applyAlignment="1">
      <alignment horizontal="right" vertical="center" wrapText="1"/>
    </xf>
    <xf numFmtId="0" fontId="7" fillId="0" borderId="28" xfId="3" applyFont="1" applyBorder="1" applyAlignment="1">
      <alignment horizontal="left" vertical="center"/>
    </xf>
    <xf numFmtId="0" fontId="7" fillId="0" borderId="29" xfId="3" applyFont="1" applyBorder="1" applyAlignment="1">
      <alignment horizontal="left" vertical="center"/>
    </xf>
    <xf numFmtId="0" fontId="7" fillId="0" borderId="30" xfId="3" applyFont="1" applyBorder="1" applyAlignment="1">
      <alignment horizontal="left" vertical="center"/>
    </xf>
    <xf numFmtId="0" fontId="28" fillId="0" borderId="0" xfId="3" quotePrefix="1" applyFont="1" applyAlignment="1">
      <alignment horizontal="left" vertical="center"/>
    </xf>
    <xf numFmtId="0" fontId="20" fillId="15" borderId="0" xfId="3" applyFont="1" applyFill="1" applyAlignment="1">
      <alignment horizontal="left" vertical="center"/>
    </xf>
    <xf numFmtId="0" fontId="7" fillId="15" borderId="0" xfId="3" applyFont="1" applyFill="1" applyAlignment="1">
      <alignment horizontal="left" vertical="center"/>
    </xf>
    <xf numFmtId="0" fontId="20" fillId="0" borderId="0" xfId="3" applyFont="1" applyAlignment="1">
      <alignment horizontal="left" vertical="center"/>
    </xf>
    <xf numFmtId="0" fontId="7" fillId="0" borderId="0" xfId="3" quotePrefix="1" applyFont="1" applyAlignment="1">
      <alignment horizontal="left" vertical="center" wrapText="1"/>
    </xf>
    <xf numFmtId="0" fontId="10" fillId="0" borderId="5" xfId="3" applyFont="1" applyBorder="1" applyAlignment="1">
      <alignment horizontal="center" vertical="center"/>
    </xf>
    <xf numFmtId="0" fontId="10" fillId="15" borderId="5" xfId="3" applyFont="1" applyFill="1" applyBorder="1" applyAlignment="1">
      <alignment horizontal="center" vertical="center"/>
    </xf>
    <xf numFmtId="165" fontId="10" fillId="15" borderId="5" xfId="3" applyNumberFormat="1" applyFont="1" applyFill="1" applyBorder="1" applyAlignment="1">
      <alignment horizontal="center" vertical="center" wrapText="1"/>
    </xf>
    <xf numFmtId="0" fontId="7" fillId="0" borderId="6" xfId="3" quotePrefix="1" applyFont="1" applyBorder="1" applyAlignment="1">
      <alignment horizontal="left" vertical="center"/>
    </xf>
    <xf numFmtId="164" fontId="7" fillId="0" borderId="31" xfId="3" applyNumberFormat="1" applyFont="1" applyBorder="1" applyAlignment="1">
      <alignment horizontal="center" vertical="center"/>
    </xf>
    <xf numFmtId="164" fontId="7" fillId="15" borderId="5" xfId="3" applyNumberFormat="1" applyFont="1" applyFill="1" applyBorder="1" applyAlignment="1">
      <alignment horizontal="left" vertical="center"/>
    </xf>
    <xf numFmtId="164" fontId="7" fillId="15" borderId="31" xfId="3" applyNumberFormat="1" applyFont="1" applyFill="1" applyBorder="1" applyAlignment="1">
      <alignment horizontal="left" vertical="center"/>
    </xf>
    <xf numFmtId="164" fontId="7" fillId="0" borderId="5" xfId="3" applyNumberFormat="1" applyFont="1" applyBorder="1" applyAlignment="1">
      <alignment horizontal="left" vertical="center"/>
    </xf>
    <xf numFmtId="164" fontId="7" fillId="0" borderId="31" xfId="3" applyNumberFormat="1" applyFont="1" applyBorder="1" applyAlignment="1">
      <alignment horizontal="left" vertical="center"/>
    </xf>
    <xf numFmtId="164" fontId="7" fillId="15" borderId="32" xfId="3" applyNumberFormat="1" applyFont="1" applyFill="1" applyBorder="1" applyAlignment="1">
      <alignment horizontal="left" vertical="center"/>
    </xf>
    <xf numFmtId="0" fontId="7" fillId="0" borderId="5" xfId="3" quotePrefix="1" applyFont="1" applyBorder="1" applyAlignment="1">
      <alignment horizontal="left" vertical="center"/>
    </xf>
    <xf numFmtId="0" fontId="7" fillId="0" borderId="0" xfId="3" quotePrefix="1" applyFont="1" applyAlignment="1">
      <alignment horizontal="left" vertical="center" wrapText="1"/>
    </xf>
    <xf numFmtId="165" fontId="10" fillId="15" borderId="13" xfId="3" applyNumberFormat="1" applyFont="1" applyFill="1" applyBorder="1" applyAlignment="1">
      <alignment horizontal="center" vertical="center" wrapText="1"/>
    </xf>
    <xf numFmtId="165" fontId="10" fillId="0" borderId="59" xfId="3" applyNumberFormat="1" applyFont="1" applyBorder="1" applyAlignment="1">
      <alignment horizontal="center" vertical="center" wrapText="1"/>
    </xf>
    <xf numFmtId="165" fontId="10" fillId="15" borderId="3" xfId="3" applyNumberFormat="1" applyFont="1" applyFill="1" applyBorder="1" applyAlignment="1">
      <alignment horizontal="center" vertical="center" wrapText="1"/>
    </xf>
    <xf numFmtId="0" fontId="20" fillId="0" borderId="21" xfId="3" applyFont="1" applyBorder="1" applyAlignment="1">
      <alignment horizontal="center" vertical="center" wrapText="1"/>
    </xf>
    <xf numFmtId="0" fontId="20" fillId="0" borderId="22" xfId="3" applyFont="1" applyBorder="1" applyAlignment="1">
      <alignment horizontal="center" vertical="center" wrapText="1"/>
    </xf>
    <xf numFmtId="0" fontId="20" fillId="0" borderId="23" xfId="3" applyFont="1" applyBorder="1" applyAlignment="1">
      <alignment horizontal="center" vertical="center" wrapText="1"/>
    </xf>
    <xf numFmtId="164" fontId="7" fillId="0" borderId="60" xfId="3" applyNumberFormat="1" applyFont="1" applyBorder="1" applyAlignment="1">
      <alignment horizontal="center" vertical="center" wrapText="1"/>
    </xf>
    <xf numFmtId="44" fontId="7" fillId="0" borderId="5" xfId="1" applyFont="1" applyBorder="1" applyAlignment="1">
      <alignment horizontal="left" vertical="center"/>
    </xf>
    <xf numFmtId="164" fontId="7" fillId="15" borderId="59" xfId="3" applyNumberFormat="1" applyFont="1" applyFill="1" applyBorder="1" applyAlignment="1">
      <alignment horizontal="center" vertical="center" wrapText="1"/>
    </xf>
    <xf numFmtId="164" fontId="7" fillId="0" borderId="61" xfId="3" applyNumberFormat="1" applyFont="1" applyBorder="1" applyAlignment="1">
      <alignment horizontal="center" vertical="center" wrapText="1"/>
    </xf>
    <xf numFmtId="164" fontId="7" fillId="0" borderId="59" xfId="3" applyNumberFormat="1" applyFont="1" applyBorder="1" applyAlignment="1">
      <alignment horizontal="center" vertical="center" wrapText="1"/>
    </xf>
    <xf numFmtId="164" fontId="7" fillId="15" borderId="61" xfId="3" applyNumberFormat="1" applyFont="1" applyFill="1" applyBorder="1" applyAlignment="1">
      <alignment horizontal="center" vertical="center" wrapText="1"/>
    </xf>
    <xf numFmtId="0" fontId="20" fillId="0" borderId="0" xfId="3" applyFont="1" applyAlignment="1">
      <alignment vertical="center" wrapText="1"/>
    </xf>
    <xf numFmtId="0" fontId="20" fillId="0" borderId="25" xfId="3" applyFont="1" applyBorder="1" applyAlignment="1">
      <alignment horizontal="center" vertical="center" wrapText="1"/>
    </xf>
    <xf numFmtId="0" fontId="20" fillId="0" borderId="0" xfId="3" applyFont="1" applyAlignment="1">
      <alignment horizontal="center" vertical="center" wrapText="1"/>
    </xf>
    <xf numFmtId="0" fontId="20" fillId="0" borderId="26" xfId="3" applyFont="1" applyBorder="1" applyAlignment="1">
      <alignment horizontal="center" vertical="center" wrapText="1"/>
    </xf>
    <xf numFmtId="164" fontId="7" fillId="15" borderId="62" xfId="3" applyNumberFormat="1" applyFont="1" applyFill="1" applyBorder="1" applyAlignment="1">
      <alignment horizontal="center" vertical="center" wrapText="1"/>
    </xf>
    <xf numFmtId="164" fontId="7" fillId="0" borderId="62" xfId="3" applyNumberFormat="1" applyFont="1" applyBorder="1" applyAlignment="1">
      <alignment horizontal="center" vertical="center" wrapText="1"/>
    </xf>
    <xf numFmtId="0" fontId="20" fillId="0" borderId="28" xfId="3" applyFont="1" applyBorder="1" applyAlignment="1">
      <alignment horizontal="center" vertical="center" wrapText="1"/>
    </xf>
    <xf numFmtId="0" fontId="20" fillId="0" borderId="29" xfId="3" applyFont="1" applyBorder="1" applyAlignment="1">
      <alignment horizontal="center" vertical="center" wrapText="1"/>
    </xf>
    <xf numFmtId="0" fontId="20" fillId="0" borderId="30" xfId="3" applyFont="1" applyBorder="1" applyAlignment="1">
      <alignment horizontal="center" vertical="center" wrapText="1"/>
    </xf>
    <xf numFmtId="164" fontId="7" fillId="15" borderId="5" xfId="3" applyNumberFormat="1" applyFont="1" applyFill="1" applyBorder="1" applyAlignment="1">
      <alignment horizontal="center" vertical="center" wrapText="1"/>
    </xf>
    <xf numFmtId="164" fontId="7" fillId="15" borderId="27" xfId="3" applyNumberFormat="1" applyFont="1" applyFill="1" applyBorder="1" applyAlignment="1">
      <alignment horizontal="center" vertical="center" wrapText="1"/>
    </xf>
    <xf numFmtId="164" fontId="7" fillId="0" borderId="63" xfId="3" applyNumberFormat="1" applyFont="1" applyBorder="1" applyAlignment="1">
      <alignment horizontal="center" vertical="center" wrapText="1"/>
    </xf>
    <xf numFmtId="164" fontId="7" fillId="0" borderId="27" xfId="3" applyNumberFormat="1" applyFont="1" applyBorder="1" applyAlignment="1">
      <alignment horizontal="center" vertical="center" wrapText="1"/>
    </xf>
    <xf numFmtId="164" fontId="7" fillId="15" borderId="5" xfId="3" applyNumberFormat="1" applyFont="1" applyFill="1" applyBorder="1" applyAlignment="1">
      <alignment horizontal="center" vertical="center"/>
    </xf>
    <xf numFmtId="166" fontId="7" fillId="15" borderId="0" xfId="2" applyNumberFormat="1" applyFont="1" applyFill="1" applyAlignment="1">
      <alignment horizontal="center" vertical="center"/>
    </xf>
    <xf numFmtId="166" fontId="7" fillId="0" borderId="0" xfId="2" applyNumberFormat="1" applyFont="1" applyAlignment="1">
      <alignment horizontal="center" vertical="center"/>
    </xf>
    <xf numFmtId="0" fontId="7" fillId="0" borderId="0" xfId="3" applyFont="1" applyAlignment="1">
      <alignment horizontal="left" vertical="center" indent="3"/>
    </xf>
    <xf numFmtId="0" fontId="7" fillId="0" borderId="0" xfId="3" applyFont="1" applyAlignment="1">
      <alignment vertical="center" wrapText="1"/>
    </xf>
    <xf numFmtId="0" fontId="7" fillId="0" borderId="32" xfId="3" applyFont="1" applyBorder="1" applyAlignment="1">
      <alignment horizontal="left" vertical="center" wrapText="1"/>
    </xf>
    <xf numFmtId="164" fontId="7" fillId="8" borderId="52" xfId="3" applyNumberFormat="1" applyFont="1" applyFill="1" applyBorder="1" applyAlignment="1">
      <alignment horizontal="center" vertical="center" wrapText="1"/>
    </xf>
    <xf numFmtId="0" fontId="12" fillId="0" borderId="32" xfId="3" applyFont="1" applyBorder="1" applyAlignment="1">
      <alignment horizontal="left" vertical="center" wrapText="1"/>
    </xf>
    <xf numFmtId="164" fontId="12" fillId="0" borderId="58" xfId="3" applyNumberFormat="1" applyFont="1" applyBorder="1" applyAlignment="1">
      <alignment horizontal="center" vertical="center" wrapText="1"/>
    </xf>
    <xf numFmtId="164" fontId="12" fillId="0" borderId="52" xfId="3" applyNumberFormat="1" applyFont="1" applyBorder="1" applyAlignment="1">
      <alignment horizontal="center" vertical="center" wrapText="1"/>
    </xf>
    <xf numFmtId="8" fontId="7" fillId="0" borderId="0" xfId="3" applyNumberFormat="1" applyFont="1" applyAlignment="1">
      <alignment horizontal="left" vertical="center"/>
    </xf>
    <xf numFmtId="164" fontId="30" fillId="0" borderId="52" xfId="3" applyNumberFormat="1" applyFont="1" applyBorder="1" applyAlignment="1">
      <alignment horizontal="center" vertical="center" wrapText="1"/>
    </xf>
    <xf numFmtId="0" fontId="7" fillId="16" borderId="3" xfId="0" applyFont="1" applyFill="1" applyBorder="1" applyAlignment="1">
      <alignment vertical="center" wrapText="1"/>
    </xf>
    <xf numFmtId="44" fontId="7" fillId="16" borderId="15" xfId="1" applyFont="1" applyFill="1" applyBorder="1" applyAlignment="1">
      <alignment vertical="center" wrapText="1"/>
    </xf>
    <xf numFmtId="44" fontId="7" fillId="16" borderId="3" xfId="1" applyFont="1" applyFill="1" applyBorder="1" applyAlignment="1">
      <alignment vertical="center" wrapText="1"/>
    </xf>
    <xf numFmtId="164" fontId="7" fillId="0" borderId="0" xfId="1" applyNumberFormat="1" applyFont="1" applyAlignment="1">
      <alignment horizontal="center" vertical="center"/>
    </xf>
    <xf numFmtId="0" fontId="5" fillId="4" borderId="64" xfId="3" applyFont="1" applyFill="1" applyBorder="1" applyAlignment="1">
      <alignment horizontal="center" vertical="center"/>
    </xf>
    <xf numFmtId="10" fontId="31" fillId="0" borderId="0" xfId="0" applyNumberFormat="1" applyFont="1" applyAlignment="1">
      <alignment horizontal="center" vertical="center"/>
    </xf>
    <xf numFmtId="0" fontId="7" fillId="0" borderId="0" xfId="3" applyFont="1" applyAlignment="1">
      <alignment horizontal="center" vertical="center" wrapText="1"/>
    </xf>
    <xf numFmtId="0" fontId="10" fillId="0" borderId="0" xfId="3" applyFont="1" applyAlignment="1">
      <alignment horizontal="center" vertical="center" wrapText="1"/>
    </xf>
    <xf numFmtId="0" fontId="10" fillId="2" borderId="0" xfId="3" applyFont="1" applyFill="1" applyAlignment="1">
      <alignment horizontal="center" vertical="center" wrapText="1"/>
    </xf>
    <xf numFmtId="0" fontId="10" fillId="2" borderId="64" xfId="3" applyFont="1" applyFill="1" applyBorder="1" applyAlignment="1">
      <alignment horizontal="center" vertical="center" wrapText="1"/>
    </xf>
    <xf numFmtId="0" fontId="31" fillId="0" borderId="0" xfId="0" applyFont="1" applyAlignment="1">
      <alignment horizontal="center" vertical="center" wrapText="1"/>
    </xf>
    <xf numFmtId="8" fontId="7" fillId="0" borderId="64" xfId="3" applyNumberFormat="1" applyFont="1" applyBorder="1" applyAlignment="1">
      <alignment horizontal="center" vertical="center"/>
    </xf>
  </cellXfs>
  <cellStyles count="4">
    <cellStyle name="Moneda" xfId="1" builtinId="4"/>
    <cellStyle name="Normal" xfId="0" builtinId="0"/>
    <cellStyle name="Normal 2" xfId="3" xr:uid="{3AB542A1-973C-4550-AF67-0F75561239D2}"/>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loudsedena.sharepoint.com/sites/presupuestos/Documentos%20compartidos/General/AAA%20Base%20Presupuestos%20Proyectos%20SDN.xlsx" TargetMode="External"/><Relationship Id="rId1" Type="http://schemas.openxmlformats.org/officeDocument/2006/relationships/externalLinkPath" Target="https://cloudsedena.sharepoint.com/sites/presupuestos/Documentos%20compartidos/General/AAA%20Base%20Presupuestos%20Proyectos%20SD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PTO concurso"/>
      <sheetName val="PPTO concurso ant"/>
      <sheetName val="PPTO simple"/>
      <sheetName val="Cálculo de horas"/>
      <sheetName val="Calendario (fecha-fecha)"/>
      <sheetName val="Calendario (anualidad completa)"/>
      <sheetName val="Convenios"/>
      <sheetName val="Cálculo antiguedad (2)"/>
      <sheetName val="comparativa COEAS"/>
      <sheetName val="Cálculo antiguedad"/>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D72F-71A9-4A68-8264-98086D879C44}">
  <dimension ref="A1:AB715"/>
  <sheetViews>
    <sheetView tabSelected="1" topLeftCell="A52" zoomScale="85" zoomScaleNormal="85" workbookViewId="0">
      <selection activeCell="C300" sqref="C300"/>
    </sheetView>
  </sheetViews>
  <sheetFormatPr baseColWidth="10" defaultColWidth="8" defaultRowHeight="14.4" outlineLevelRow="1" x14ac:dyDescent="0.3"/>
  <cols>
    <col min="1" max="1" width="8" style="1"/>
    <col min="2" max="2" width="33" style="1" customWidth="1"/>
    <col min="3" max="3" width="57" style="1" bestFit="1" customWidth="1"/>
    <col min="4" max="5" width="12.6640625" style="2" customWidth="1"/>
    <col min="6" max="6" width="13" style="2" customWidth="1"/>
    <col min="7" max="7" width="12" style="1" customWidth="1"/>
    <col min="8" max="9" width="11.6640625" style="1" customWidth="1"/>
    <col min="10" max="10" width="10.88671875" style="1" customWidth="1"/>
    <col min="11" max="11" width="12" style="1" customWidth="1"/>
    <col min="12" max="14" width="11.6640625" style="1" customWidth="1"/>
    <col min="15" max="15" width="12.44140625" style="1" customWidth="1"/>
    <col min="16" max="16" width="11.6640625" style="1" customWidth="1"/>
    <col min="17" max="17" width="10.5546875" style="1" bestFit="1" customWidth="1"/>
    <col min="18" max="18" width="12.44140625" style="1" customWidth="1"/>
    <col min="19" max="19" width="11" style="1" customWidth="1"/>
    <col min="20" max="20" width="10.33203125" style="1" customWidth="1"/>
    <col min="21" max="21" width="11.33203125" style="1" customWidth="1"/>
    <col min="22" max="26" width="10.5546875" style="1" bestFit="1" customWidth="1"/>
    <col min="27" max="16384" width="8" style="1"/>
  </cols>
  <sheetData>
    <row r="1" spans="2:19" ht="14.1" customHeight="1" thickBot="1" x14ac:dyDescent="0.35">
      <c r="E1" s="2">
        <v>2020</v>
      </c>
      <c r="F1" s="2">
        <v>2021</v>
      </c>
      <c r="G1" s="2">
        <v>2022</v>
      </c>
      <c r="H1" s="2">
        <v>2023</v>
      </c>
      <c r="I1" s="2">
        <v>2024</v>
      </c>
      <c r="J1" s="2">
        <v>2025</v>
      </c>
    </row>
    <row r="2" spans="2:19" ht="18" thickBot="1" x14ac:dyDescent="0.35">
      <c r="B2" s="3" t="s">
        <v>0</v>
      </c>
      <c r="C2" s="4">
        <f>+J2</f>
        <v>16576</v>
      </c>
      <c r="D2" s="2" t="s">
        <v>1</v>
      </c>
      <c r="E2" s="5">
        <f>950*14</f>
        <v>13300</v>
      </c>
      <c r="F2" s="5">
        <f>965*14</f>
        <v>13510</v>
      </c>
      <c r="G2" s="5">
        <f>1000*14</f>
        <v>14000</v>
      </c>
      <c r="H2" s="5">
        <f>1080*14</f>
        <v>15120</v>
      </c>
      <c r="I2" s="5">
        <f>1134*14</f>
        <v>15876</v>
      </c>
      <c r="J2" s="6">
        <f>(I2/14+50)*14</f>
        <v>16576</v>
      </c>
      <c r="K2" s="6"/>
      <c r="L2" s="6"/>
    </row>
    <row r="3" spans="2:19" ht="14.1" customHeight="1" x14ac:dyDescent="0.3">
      <c r="L3" s="6"/>
    </row>
    <row r="4" spans="2:19" ht="20.100000000000001" customHeight="1" collapsed="1" x14ac:dyDescent="0.3">
      <c r="B4" s="7" t="s">
        <v>2</v>
      </c>
      <c r="C4" s="8"/>
      <c r="D4" s="9"/>
      <c r="E4" s="9"/>
      <c r="F4" s="9"/>
      <c r="G4" s="8"/>
      <c r="H4" s="8"/>
      <c r="I4" s="8"/>
      <c r="J4" s="8"/>
      <c r="K4" s="8"/>
      <c r="L4" s="8"/>
    </row>
    <row r="5" spans="2:19" hidden="1" outlineLevel="1" x14ac:dyDescent="0.3">
      <c r="B5" s="1" t="s">
        <v>3</v>
      </c>
      <c r="D5" s="2" t="s">
        <v>4</v>
      </c>
      <c r="E5" s="2">
        <v>1742</v>
      </c>
      <c r="F5" s="10"/>
    </row>
    <row r="6" spans="2:19" hidden="1" outlineLevel="1" x14ac:dyDescent="0.3">
      <c r="D6" s="2" t="s">
        <v>5</v>
      </c>
      <c r="E6" s="2">
        <v>38.5</v>
      </c>
      <c r="F6" s="10"/>
    </row>
    <row r="7" spans="2:19" hidden="1" outlineLevel="1" x14ac:dyDescent="0.3">
      <c r="D7" s="1"/>
      <c r="E7" s="1"/>
      <c r="F7" s="10"/>
    </row>
    <row r="8" spans="2:19" hidden="1" outlineLevel="1" x14ac:dyDescent="0.3">
      <c r="D8" s="1"/>
      <c r="E8" s="11" t="s">
        <v>6</v>
      </c>
      <c r="F8" s="11"/>
      <c r="G8" s="11"/>
      <c r="H8" s="11"/>
      <c r="I8" s="11"/>
      <c r="J8" s="11"/>
      <c r="K8" s="11"/>
      <c r="L8" s="11"/>
      <c r="M8" s="11"/>
      <c r="N8" s="11"/>
      <c r="O8" s="11"/>
      <c r="P8" s="11"/>
    </row>
    <row r="9" spans="2:19" hidden="1" outlineLevel="1" x14ac:dyDescent="0.3">
      <c r="D9" s="1"/>
      <c r="E9" s="1"/>
      <c r="F9" s="1"/>
      <c r="P9" s="1" t="s">
        <v>7</v>
      </c>
    </row>
    <row r="10" spans="2:19" ht="36" hidden="1" outlineLevel="1" x14ac:dyDescent="0.3">
      <c r="B10" s="12" t="s">
        <v>8</v>
      </c>
      <c r="C10" s="13" t="s">
        <v>9</v>
      </c>
      <c r="D10" s="14" t="s">
        <v>10</v>
      </c>
      <c r="E10" s="14" t="s">
        <v>11</v>
      </c>
      <c r="F10" s="14" t="s">
        <v>12</v>
      </c>
      <c r="G10" s="14" t="s">
        <v>13</v>
      </c>
      <c r="H10" s="15" t="s">
        <v>14</v>
      </c>
      <c r="I10" s="16" t="s">
        <v>15</v>
      </c>
      <c r="J10" s="17" t="s">
        <v>16</v>
      </c>
      <c r="K10" s="18" t="s">
        <v>17</v>
      </c>
      <c r="L10" s="19" t="s">
        <v>18</v>
      </c>
      <c r="M10" s="20" t="s">
        <v>19</v>
      </c>
      <c r="P10" s="14" t="s">
        <v>11</v>
      </c>
      <c r="Q10" s="14" t="s">
        <v>12</v>
      </c>
      <c r="R10" s="14" t="s">
        <v>13</v>
      </c>
      <c r="S10" s="14" t="s">
        <v>20</v>
      </c>
    </row>
    <row r="11" spans="2:19" hidden="1" outlineLevel="1" x14ac:dyDescent="0.3">
      <c r="B11" s="21" t="s">
        <v>21</v>
      </c>
      <c r="C11" s="22" t="s">
        <v>22</v>
      </c>
      <c r="D11" s="23">
        <v>20092.100000000002</v>
      </c>
      <c r="E11" s="24">
        <v>20998</v>
      </c>
      <c r="F11" s="24">
        <v>21217.43</v>
      </c>
      <c r="G11" s="24">
        <v>21535.69</v>
      </c>
      <c r="H11" s="25">
        <f>+G11</f>
        <v>21535.69</v>
      </c>
      <c r="I11" s="26">
        <v>21858.73</v>
      </c>
      <c r="J11" s="27"/>
      <c r="K11" s="28">
        <f t="shared" ref="K11:K18" si="0">+I11</f>
        <v>21858.73</v>
      </c>
      <c r="L11" s="28">
        <f>+K11/$E$5</f>
        <v>12.548065442020667</v>
      </c>
      <c r="M11" s="5"/>
      <c r="N11" s="29"/>
      <c r="P11" s="30">
        <f t="shared" ref="P11:R26" si="1">+E11/D11-1</f>
        <v>4.5087372648951574E-2</v>
      </c>
      <c r="Q11" s="30">
        <f t="shared" si="1"/>
        <v>1.0450042861224862E-2</v>
      </c>
      <c r="R11" s="30">
        <f t="shared" si="1"/>
        <v>1.4999931659960719E-2</v>
      </c>
      <c r="S11" s="30">
        <f t="shared" ref="S11:S37" si="2">+I11/G11-1</f>
        <v>1.5000215920641491E-2</v>
      </c>
    </row>
    <row r="12" spans="2:19" hidden="1" outlineLevel="1" x14ac:dyDescent="0.3">
      <c r="B12" s="31" t="s">
        <v>23</v>
      </c>
      <c r="C12" s="22" t="s">
        <v>24</v>
      </c>
      <c r="D12" s="23">
        <v>17580.64</v>
      </c>
      <c r="E12" s="24">
        <v>18294</v>
      </c>
      <c r="F12" s="24">
        <v>18656.71</v>
      </c>
      <c r="G12" s="24">
        <v>19216.41</v>
      </c>
      <c r="H12" s="25">
        <f t="shared" ref="H12:H20" si="3">+G12</f>
        <v>19216.41</v>
      </c>
      <c r="I12" s="26">
        <v>19504.66</v>
      </c>
      <c r="J12" s="27"/>
      <c r="K12" s="28">
        <f t="shared" si="0"/>
        <v>19504.66</v>
      </c>
      <c r="L12" s="28">
        <f t="shared" ref="L12:L37" si="4">+K12/$E$5</f>
        <v>11.196704936854191</v>
      </c>
      <c r="N12" s="29"/>
      <c r="P12" s="30">
        <f t="shared" si="1"/>
        <v>4.0576452279325492E-2</v>
      </c>
      <c r="Q12" s="30">
        <f t="shared" si="1"/>
        <v>1.9826719142888249E-2</v>
      </c>
      <c r="R12" s="30">
        <f t="shared" si="1"/>
        <v>2.9999930319976054E-2</v>
      </c>
      <c r="S12" s="30">
        <f t="shared" si="2"/>
        <v>1.5000200349597037E-2</v>
      </c>
    </row>
    <row r="13" spans="2:19" hidden="1" outlineLevel="1" x14ac:dyDescent="0.3">
      <c r="B13" s="32"/>
      <c r="C13" s="22" t="s">
        <v>25</v>
      </c>
      <c r="D13" s="23">
        <v>17580.64</v>
      </c>
      <c r="E13" s="24">
        <v>18294</v>
      </c>
      <c r="F13" s="24">
        <v>18656.71</v>
      </c>
      <c r="G13" s="24">
        <v>19216.41</v>
      </c>
      <c r="H13" s="25">
        <f t="shared" si="3"/>
        <v>19216.41</v>
      </c>
      <c r="I13" s="26">
        <v>19504.66</v>
      </c>
      <c r="J13" s="27"/>
      <c r="K13" s="28">
        <f t="shared" si="0"/>
        <v>19504.66</v>
      </c>
      <c r="L13" s="28">
        <f t="shared" si="4"/>
        <v>11.196704936854191</v>
      </c>
      <c r="N13" s="29"/>
      <c r="P13" s="30">
        <f t="shared" si="1"/>
        <v>4.0576452279325492E-2</v>
      </c>
      <c r="Q13" s="30">
        <f t="shared" si="1"/>
        <v>1.9826719142888249E-2</v>
      </c>
      <c r="R13" s="30">
        <f t="shared" si="1"/>
        <v>2.9999930319976054E-2</v>
      </c>
      <c r="S13" s="30">
        <f t="shared" si="2"/>
        <v>1.5000200349597037E-2</v>
      </c>
    </row>
    <row r="14" spans="2:19" hidden="1" outlineLevel="1" x14ac:dyDescent="0.3">
      <c r="B14" s="32"/>
      <c r="C14" s="22" t="s">
        <v>26</v>
      </c>
      <c r="D14" s="23">
        <v>16952.740000000002</v>
      </c>
      <c r="E14" s="24">
        <v>17692</v>
      </c>
      <c r="F14" s="24">
        <v>17990.400000000001</v>
      </c>
      <c r="G14" s="24">
        <v>18530.12</v>
      </c>
      <c r="H14" s="25">
        <f t="shared" si="3"/>
        <v>18530.12</v>
      </c>
      <c r="I14" s="26">
        <v>18808.07</v>
      </c>
      <c r="J14" s="27"/>
      <c r="K14" s="28">
        <f t="shared" si="0"/>
        <v>18808.07</v>
      </c>
      <c r="L14" s="28">
        <f t="shared" si="4"/>
        <v>10.79682548794489</v>
      </c>
      <c r="N14" s="29"/>
      <c r="P14" s="30">
        <f t="shared" si="1"/>
        <v>4.3607110119072034E-2</v>
      </c>
      <c r="Q14" s="30">
        <f t="shared" si="1"/>
        <v>1.6866380284874527E-2</v>
      </c>
      <c r="R14" s="30">
        <f t="shared" si="1"/>
        <v>3.0000444681607785E-2</v>
      </c>
      <c r="S14" s="30">
        <f t="shared" si="2"/>
        <v>1.499990286085584E-2</v>
      </c>
    </row>
    <row r="15" spans="2:19" hidden="1" outlineLevel="1" x14ac:dyDescent="0.3">
      <c r="B15" s="32"/>
      <c r="C15" s="22" t="s">
        <v>27</v>
      </c>
      <c r="D15" s="23">
        <v>16952.740000000002</v>
      </c>
      <c r="E15" s="24">
        <v>17692</v>
      </c>
      <c r="F15" s="24">
        <v>17990.400000000001</v>
      </c>
      <c r="G15" s="24">
        <v>18530.12</v>
      </c>
      <c r="H15" s="25">
        <f t="shared" si="3"/>
        <v>18530.12</v>
      </c>
      <c r="I15" s="26">
        <v>18808.07</v>
      </c>
      <c r="J15" s="27"/>
      <c r="K15" s="28">
        <f t="shared" si="0"/>
        <v>18808.07</v>
      </c>
      <c r="L15" s="28">
        <f t="shared" si="4"/>
        <v>10.79682548794489</v>
      </c>
      <c r="N15" s="29"/>
      <c r="P15" s="30">
        <f t="shared" si="1"/>
        <v>4.3607110119072034E-2</v>
      </c>
      <c r="Q15" s="30">
        <f t="shared" si="1"/>
        <v>1.6866380284874527E-2</v>
      </c>
      <c r="R15" s="30">
        <f t="shared" si="1"/>
        <v>3.0000444681607785E-2</v>
      </c>
      <c r="S15" s="30">
        <f t="shared" si="2"/>
        <v>1.499990286085584E-2</v>
      </c>
    </row>
    <row r="16" spans="2:19" hidden="1" outlineLevel="1" x14ac:dyDescent="0.3">
      <c r="B16" s="33"/>
      <c r="C16" s="22" t="s">
        <v>28</v>
      </c>
      <c r="D16" s="23">
        <v>16952.740000000002</v>
      </c>
      <c r="E16" s="24">
        <v>17692</v>
      </c>
      <c r="F16" s="24">
        <v>17990.400000000001</v>
      </c>
      <c r="G16" s="24">
        <v>18530.12</v>
      </c>
      <c r="H16" s="25">
        <f t="shared" si="3"/>
        <v>18530.12</v>
      </c>
      <c r="I16" s="26">
        <v>18808.07</v>
      </c>
      <c r="J16" s="27"/>
      <c r="K16" s="28">
        <f t="shared" si="0"/>
        <v>18808.07</v>
      </c>
      <c r="L16" s="28">
        <f t="shared" si="4"/>
        <v>10.79682548794489</v>
      </c>
      <c r="N16" s="29"/>
      <c r="P16" s="30">
        <f t="shared" si="1"/>
        <v>4.3607110119072034E-2</v>
      </c>
      <c r="Q16" s="30">
        <f t="shared" si="1"/>
        <v>1.6866380284874527E-2</v>
      </c>
      <c r="R16" s="30">
        <f t="shared" si="1"/>
        <v>3.0000444681607785E-2</v>
      </c>
      <c r="S16" s="30">
        <f t="shared" si="2"/>
        <v>1.499990286085584E-2</v>
      </c>
    </row>
    <row r="17" spans="2:19" ht="15" hidden="1" customHeight="1" outlineLevel="1" x14ac:dyDescent="0.3">
      <c r="B17" s="31" t="s">
        <v>29</v>
      </c>
      <c r="C17" s="22" t="s">
        <v>30</v>
      </c>
      <c r="D17" s="23">
        <v>16324.84</v>
      </c>
      <c r="E17" s="24">
        <v>16990</v>
      </c>
      <c r="F17" s="24">
        <v>17324.080000000002</v>
      </c>
      <c r="G17" s="24">
        <v>17843.810000000001</v>
      </c>
      <c r="H17" s="25">
        <f t="shared" si="3"/>
        <v>17843.810000000001</v>
      </c>
      <c r="I17" s="26">
        <v>18111.47</v>
      </c>
      <c r="J17" s="27"/>
      <c r="K17" s="28">
        <f t="shared" si="0"/>
        <v>18111.47</v>
      </c>
      <c r="L17" s="28">
        <f t="shared" si="4"/>
        <v>10.396940298507463</v>
      </c>
      <c r="N17" s="29"/>
      <c r="P17" s="30">
        <f t="shared" si="1"/>
        <v>4.0745269172622889E-2</v>
      </c>
      <c r="Q17" s="30">
        <f>+F17/E17-1</f>
        <v>1.9663331371394976E-2</v>
      </c>
      <c r="R17" s="30">
        <f t="shared" si="1"/>
        <v>3.0000438695734433E-2</v>
      </c>
      <c r="S17" s="30">
        <f t="shared" si="2"/>
        <v>1.5000159719252837E-2</v>
      </c>
    </row>
    <row r="18" spans="2:19" hidden="1" outlineLevel="1" x14ac:dyDescent="0.3">
      <c r="B18" s="32"/>
      <c r="C18" s="22" t="s">
        <v>31</v>
      </c>
      <c r="D18" s="23">
        <v>15696.94</v>
      </c>
      <c r="E18" s="24">
        <v>16380.15</v>
      </c>
      <c r="F18" s="24">
        <v>16707.75</v>
      </c>
      <c r="G18" s="24">
        <v>17058.900000000001</v>
      </c>
      <c r="H18" s="25">
        <f t="shared" si="3"/>
        <v>17058.900000000001</v>
      </c>
      <c r="I18" s="26">
        <v>17314.79</v>
      </c>
      <c r="J18" s="27"/>
      <c r="K18" s="28">
        <f t="shared" si="0"/>
        <v>17314.79</v>
      </c>
      <c r="L18" s="28">
        <f t="shared" si="4"/>
        <v>9.9396039035591279</v>
      </c>
      <c r="N18" s="29"/>
      <c r="P18" s="30">
        <f t="shared" si="1"/>
        <v>4.3525043734638613E-2</v>
      </c>
      <c r="Q18" s="30">
        <f t="shared" si="1"/>
        <v>1.9999816851494101E-2</v>
      </c>
      <c r="R18" s="30">
        <f t="shared" si="1"/>
        <v>2.1017192620191416E-2</v>
      </c>
      <c r="S18" s="30">
        <f t="shared" si="2"/>
        <v>1.5000381032774568E-2</v>
      </c>
    </row>
    <row r="19" spans="2:19" hidden="1" outlineLevel="1" x14ac:dyDescent="0.3">
      <c r="B19" s="32"/>
      <c r="C19" s="22" t="s">
        <v>32</v>
      </c>
      <c r="D19" s="23">
        <v>15696.94</v>
      </c>
      <c r="E19" s="24">
        <v>16331.16</v>
      </c>
      <c r="F19" s="24">
        <v>16657.78</v>
      </c>
      <c r="G19" s="24">
        <v>16990.939999999999</v>
      </c>
      <c r="H19" s="25">
        <f t="shared" si="3"/>
        <v>16990.939999999999</v>
      </c>
      <c r="I19" s="26">
        <v>17252.599999999999</v>
      </c>
      <c r="J19" s="34">
        <f>+I19+M19</f>
        <v>17688.079999999998</v>
      </c>
      <c r="K19" s="28">
        <f>+J19</f>
        <v>17688.079999999998</v>
      </c>
      <c r="L19" s="28">
        <f t="shared" si="4"/>
        <v>10.153892078071182</v>
      </c>
      <c r="M19" s="5">
        <v>435.48</v>
      </c>
      <c r="N19" s="29"/>
      <c r="P19" s="30">
        <f t="shared" si="1"/>
        <v>4.0404053274077478E-2</v>
      </c>
      <c r="Q19" s="30">
        <f t="shared" si="1"/>
        <v>1.9999804055560011E-2</v>
      </c>
      <c r="R19" s="30">
        <f t="shared" si="1"/>
        <v>2.0000264140839885E-2</v>
      </c>
      <c r="S19" s="30">
        <f t="shared" si="2"/>
        <v>1.5399971985069705E-2</v>
      </c>
    </row>
    <row r="20" spans="2:19" hidden="1" outlineLevel="1" x14ac:dyDescent="0.3">
      <c r="B20" s="32"/>
      <c r="C20" s="22" t="s">
        <v>33</v>
      </c>
      <c r="D20" s="23">
        <v>14755.16</v>
      </c>
      <c r="E20" s="24">
        <v>15351.28</v>
      </c>
      <c r="F20" s="24">
        <v>15658.3</v>
      </c>
      <c r="G20" s="24">
        <v>16128.05</v>
      </c>
      <c r="H20" s="25">
        <f t="shared" si="3"/>
        <v>16128.05</v>
      </c>
      <c r="I20" s="26">
        <v>16376.42</v>
      </c>
      <c r="J20" s="34">
        <f>+I20+M20</f>
        <v>16811.900000000001</v>
      </c>
      <c r="K20" s="28">
        <f>+J20</f>
        <v>16811.900000000001</v>
      </c>
      <c r="L20" s="28">
        <f t="shared" si="4"/>
        <v>9.6509184845005755</v>
      </c>
      <c r="M20" s="5">
        <v>435.48</v>
      </c>
      <c r="N20" s="29"/>
      <c r="P20" s="30">
        <f t="shared" si="1"/>
        <v>4.0400781828187515E-2</v>
      </c>
      <c r="Q20" s="30">
        <f t="shared" si="1"/>
        <v>1.9999635209571931E-2</v>
      </c>
      <c r="R20" s="30">
        <f t="shared" si="1"/>
        <v>3.0000063863893311E-2</v>
      </c>
      <c r="S20" s="30">
        <f t="shared" si="2"/>
        <v>1.539987785256125E-2</v>
      </c>
    </row>
    <row r="21" spans="2:19" hidden="1" outlineLevel="1" x14ac:dyDescent="0.3">
      <c r="B21" s="32"/>
      <c r="C21" s="22" t="s">
        <v>34</v>
      </c>
      <c r="D21" s="23">
        <v>14755.16</v>
      </c>
      <c r="E21" s="24">
        <v>15351.28</v>
      </c>
      <c r="F21" s="24">
        <v>15658.3</v>
      </c>
      <c r="G21" s="24">
        <v>16128.05</v>
      </c>
      <c r="H21" s="25">
        <f>+G21</f>
        <v>16128.05</v>
      </c>
      <c r="I21" s="26">
        <v>16369.97</v>
      </c>
      <c r="J21" s="27"/>
      <c r="K21" s="28">
        <f>+I21</f>
        <v>16369.97</v>
      </c>
      <c r="L21" s="28">
        <f t="shared" si="4"/>
        <v>9.3972273249138922</v>
      </c>
      <c r="N21" s="29"/>
      <c r="P21" s="30">
        <f t="shared" si="1"/>
        <v>4.0400781828187515E-2</v>
      </c>
      <c r="Q21" s="30">
        <f t="shared" si="1"/>
        <v>1.9999635209571931E-2</v>
      </c>
      <c r="R21" s="30">
        <f t="shared" si="1"/>
        <v>3.0000063863893311E-2</v>
      </c>
      <c r="S21" s="30">
        <f t="shared" si="2"/>
        <v>1.4999953497167873E-2</v>
      </c>
    </row>
    <row r="22" spans="2:19" hidden="1" outlineLevel="1" x14ac:dyDescent="0.3">
      <c r="B22" s="32"/>
      <c r="C22" s="22" t="s">
        <v>35</v>
      </c>
      <c r="D22" s="23">
        <v>13185.480000000001</v>
      </c>
      <c r="E22" s="24">
        <v>14692</v>
      </c>
      <c r="F22" s="24">
        <v>14838.92</v>
      </c>
      <c r="G22" s="24">
        <v>14987.31</v>
      </c>
      <c r="H22" s="35">
        <f t="shared" ref="H22:H25" si="5">14*1080</f>
        <v>15120</v>
      </c>
      <c r="I22" s="26">
        <v>15212.12</v>
      </c>
      <c r="J22" s="27"/>
      <c r="K22" s="36">
        <v>15876</v>
      </c>
      <c r="L22" s="28">
        <f t="shared" si="4"/>
        <v>9.1136624569460398</v>
      </c>
      <c r="N22" s="29"/>
      <c r="P22" s="30">
        <f t="shared" si="1"/>
        <v>0.11425598461337771</v>
      </c>
      <c r="Q22" s="30">
        <f t="shared" si="1"/>
        <v>1.0000000000000009E-2</v>
      </c>
      <c r="R22" s="30">
        <f t="shared" si="1"/>
        <v>1.0000053912279316E-2</v>
      </c>
      <c r="S22" s="30">
        <f t="shared" si="2"/>
        <v>1.5000023353090031E-2</v>
      </c>
    </row>
    <row r="23" spans="2:19" hidden="1" outlineLevel="1" x14ac:dyDescent="0.3">
      <c r="B23" s="32"/>
      <c r="C23" s="22" t="s">
        <v>36</v>
      </c>
      <c r="D23" s="23"/>
      <c r="E23" s="24">
        <v>16331.16</v>
      </c>
      <c r="F23" s="24">
        <v>16657.78</v>
      </c>
      <c r="G23" s="24">
        <v>16990.939999999999</v>
      </c>
      <c r="H23" s="25">
        <f>+G23</f>
        <v>16990.939999999999</v>
      </c>
      <c r="I23" s="26">
        <v>17252.599999999999</v>
      </c>
      <c r="J23" s="34">
        <f>+I23+M23</f>
        <v>17688.079999999998</v>
      </c>
      <c r="K23" s="28">
        <f>+J23</f>
        <v>17688.079999999998</v>
      </c>
      <c r="L23" s="28">
        <f t="shared" si="4"/>
        <v>10.153892078071182</v>
      </c>
      <c r="M23" s="5">
        <v>435.48</v>
      </c>
      <c r="N23" s="29"/>
      <c r="P23" s="30"/>
      <c r="Q23" s="30">
        <f t="shared" si="1"/>
        <v>1.9999804055560011E-2</v>
      </c>
      <c r="R23" s="30">
        <f t="shared" si="1"/>
        <v>2.0000264140839885E-2</v>
      </c>
      <c r="S23" s="30">
        <f t="shared" si="2"/>
        <v>1.5399971985069705E-2</v>
      </c>
    </row>
    <row r="24" spans="2:19" hidden="1" outlineLevel="1" x14ac:dyDescent="0.3">
      <c r="B24" s="32"/>
      <c r="C24" s="22" t="s">
        <v>37</v>
      </c>
      <c r="D24" s="23"/>
      <c r="E24" s="24">
        <v>14294</v>
      </c>
      <c r="F24" s="24">
        <v>14436.94</v>
      </c>
      <c r="G24" s="24">
        <v>14581.31</v>
      </c>
      <c r="H24" s="35">
        <f t="shared" si="5"/>
        <v>15120</v>
      </c>
      <c r="I24" s="26">
        <v>14800.03</v>
      </c>
      <c r="J24" s="27"/>
      <c r="K24" s="36">
        <v>15876</v>
      </c>
      <c r="L24" s="28">
        <f t="shared" si="4"/>
        <v>9.1136624569460398</v>
      </c>
      <c r="N24" s="29"/>
      <c r="P24" s="30"/>
      <c r="Q24" s="30">
        <f t="shared" si="1"/>
        <v>1.0000000000000009E-2</v>
      </c>
      <c r="R24" s="30">
        <f t="shared" si="1"/>
        <v>1.0000041560053408E-2</v>
      </c>
      <c r="S24" s="30">
        <f t="shared" si="2"/>
        <v>1.5000024003330337E-2</v>
      </c>
    </row>
    <row r="25" spans="2:19" hidden="1" outlineLevel="1" x14ac:dyDescent="0.3">
      <c r="B25" s="33"/>
      <c r="C25" s="22" t="s">
        <v>38</v>
      </c>
      <c r="D25" s="23"/>
      <c r="E25" s="24">
        <v>14093</v>
      </c>
      <c r="F25" s="24">
        <v>14233.93</v>
      </c>
      <c r="G25" s="24">
        <v>14376.27</v>
      </c>
      <c r="H25" s="35">
        <f t="shared" si="5"/>
        <v>15120</v>
      </c>
      <c r="I25" s="26">
        <v>14591.91</v>
      </c>
      <c r="J25" s="27"/>
      <c r="K25" s="36">
        <v>15876</v>
      </c>
      <c r="L25" s="28">
        <f t="shared" si="4"/>
        <v>9.1136624569460398</v>
      </c>
      <c r="N25" s="29"/>
      <c r="P25" s="30"/>
      <c r="Q25" s="30">
        <f t="shared" si="1"/>
        <v>1.0000000000000009E-2</v>
      </c>
      <c r="R25" s="30">
        <f t="shared" si="1"/>
        <v>1.0000049178266357E-2</v>
      </c>
      <c r="S25" s="30">
        <f t="shared" si="2"/>
        <v>1.4999718285758412E-2</v>
      </c>
    </row>
    <row r="26" spans="2:19" hidden="1" outlineLevel="1" x14ac:dyDescent="0.3">
      <c r="B26" s="31" t="s">
        <v>39</v>
      </c>
      <c r="C26" s="22" t="s">
        <v>40</v>
      </c>
      <c r="D26" s="23">
        <v>15069.179999999998</v>
      </c>
      <c r="E26" s="24">
        <v>15797</v>
      </c>
      <c r="F26" s="24">
        <v>15991.47</v>
      </c>
      <c r="G26" s="24">
        <v>16311.3</v>
      </c>
      <c r="H26" s="25">
        <f>+G26</f>
        <v>16311.3</v>
      </c>
      <c r="I26" s="26">
        <v>16555.97</v>
      </c>
      <c r="J26" s="27"/>
      <c r="K26" s="28">
        <f>+I26</f>
        <v>16555.97</v>
      </c>
      <c r="L26" s="28">
        <f t="shared" si="4"/>
        <v>9.5040011481056261</v>
      </c>
      <c r="N26" s="29"/>
      <c r="P26" s="30">
        <f t="shared" ref="P26:R37" si="6">+E26/D26-1</f>
        <v>4.8298580281077141E-2</v>
      </c>
      <c r="Q26" s="30">
        <f t="shared" si="1"/>
        <v>1.2310565297208198E-2</v>
      </c>
      <c r="R26" s="30">
        <f t="shared" si="1"/>
        <v>2.00000375200029E-2</v>
      </c>
      <c r="S26" s="30">
        <f t="shared" si="2"/>
        <v>1.5000030653596008E-2</v>
      </c>
    </row>
    <row r="27" spans="2:19" hidden="1" outlineLevel="1" x14ac:dyDescent="0.3">
      <c r="B27" s="33"/>
      <c r="C27" s="22" t="s">
        <v>41</v>
      </c>
      <c r="D27" s="23">
        <v>13185.480000000001</v>
      </c>
      <c r="E27" s="24">
        <v>14297.98</v>
      </c>
      <c r="F27" s="24">
        <v>14440.96</v>
      </c>
      <c r="G27" s="24">
        <v>14585.37</v>
      </c>
      <c r="H27" s="37">
        <f>+G27</f>
        <v>14585.37</v>
      </c>
      <c r="I27" s="26">
        <v>14809.98</v>
      </c>
      <c r="J27" s="34">
        <f>+I27+M27</f>
        <v>15245.46</v>
      </c>
      <c r="K27" s="36">
        <v>15876</v>
      </c>
      <c r="L27" s="28">
        <f t="shared" si="4"/>
        <v>9.1136624569460398</v>
      </c>
      <c r="M27" s="5">
        <v>435.48</v>
      </c>
      <c r="N27" s="29"/>
      <c r="P27" s="30">
        <f t="shared" si="6"/>
        <v>8.4373113455103566E-2</v>
      </c>
      <c r="Q27" s="30">
        <f t="shared" si="6"/>
        <v>1.0000013987989886E-2</v>
      </c>
      <c r="R27" s="30">
        <f t="shared" si="6"/>
        <v>1.0000027698989555E-2</v>
      </c>
      <c r="S27" s="30">
        <f t="shared" si="2"/>
        <v>1.53996778964125E-2</v>
      </c>
    </row>
    <row r="28" spans="2:19" hidden="1" outlineLevel="1" x14ac:dyDescent="0.3">
      <c r="B28" s="31" t="s">
        <v>42</v>
      </c>
      <c r="C28" s="22" t="s">
        <v>43</v>
      </c>
      <c r="D28" s="23">
        <v>13185.480000000001</v>
      </c>
      <c r="E28" s="24">
        <v>14394</v>
      </c>
      <c r="F28" s="24">
        <v>14537.94</v>
      </c>
      <c r="G28" s="24">
        <v>14683.32</v>
      </c>
      <c r="H28" s="35">
        <f t="shared" ref="H28:H31" si="7">14*1080</f>
        <v>15120</v>
      </c>
      <c r="I28" s="26">
        <v>14918.25</v>
      </c>
      <c r="J28" s="27"/>
      <c r="K28" s="36">
        <v>15876</v>
      </c>
      <c r="L28" s="28">
        <f t="shared" si="4"/>
        <v>9.1136624569460398</v>
      </c>
      <c r="N28" s="29"/>
      <c r="P28" s="30">
        <f t="shared" si="6"/>
        <v>9.165536635753857E-2</v>
      </c>
      <c r="Q28" s="30">
        <f t="shared" si="6"/>
        <v>1.0000000000000009E-2</v>
      </c>
      <c r="R28" s="30">
        <f t="shared" si="6"/>
        <v>1.0000041271321702E-2</v>
      </c>
      <c r="S28" s="30">
        <f t="shared" si="2"/>
        <v>1.5999787513995445E-2</v>
      </c>
    </row>
    <row r="29" spans="2:19" hidden="1" outlineLevel="1" x14ac:dyDescent="0.3">
      <c r="B29" s="32"/>
      <c r="C29" s="22" t="s">
        <v>44</v>
      </c>
      <c r="D29" s="23">
        <v>13185.480000000001</v>
      </c>
      <c r="E29" s="24">
        <v>14394</v>
      </c>
      <c r="F29" s="24">
        <v>14537.94</v>
      </c>
      <c r="G29" s="24">
        <v>14683.32</v>
      </c>
      <c r="H29" s="35">
        <f t="shared" si="7"/>
        <v>15120</v>
      </c>
      <c r="I29" s="26">
        <v>14903.57</v>
      </c>
      <c r="J29" s="27"/>
      <c r="K29" s="36">
        <v>15876</v>
      </c>
      <c r="L29" s="28">
        <f t="shared" si="4"/>
        <v>9.1136624569460398</v>
      </c>
      <c r="N29" s="29"/>
      <c r="P29" s="30">
        <f t="shared" si="6"/>
        <v>9.165536635753857E-2</v>
      </c>
      <c r="Q29" s="30">
        <f t="shared" si="6"/>
        <v>1.0000000000000009E-2</v>
      </c>
      <c r="R29" s="30">
        <f t="shared" si="6"/>
        <v>1.0000041271321702E-2</v>
      </c>
      <c r="S29" s="30">
        <f t="shared" si="2"/>
        <v>1.5000013620897645E-2</v>
      </c>
    </row>
    <row r="30" spans="2:19" hidden="1" outlineLevel="1" x14ac:dyDescent="0.3">
      <c r="B30" s="32"/>
      <c r="C30" s="22" t="s">
        <v>45</v>
      </c>
      <c r="D30" s="23">
        <v>11929.68</v>
      </c>
      <c r="E30" s="24">
        <v>14000</v>
      </c>
      <c r="F30" s="24">
        <v>14140</v>
      </c>
      <c r="G30" s="24">
        <v>14281.4</v>
      </c>
      <c r="H30" s="35">
        <f t="shared" si="7"/>
        <v>15120</v>
      </c>
      <c r="I30" s="26">
        <v>14495.62</v>
      </c>
      <c r="J30" s="27"/>
      <c r="K30" s="36">
        <v>15876</v>
      </c>
      <c r="L30" s="28">
        <f t="shared" si="4"/>
        <v>9.1136624569460398</v>
      </c>
      <c r="N30" s="29"/>
      <c r="P30" s="30">
        <f t="shared" si="6"/>
        <v>0.17354363235225079</v>
      </c>
      <c r="Q30" s="30">
        <f t="shared" si="6"/>
        <v>1.0000000000000009E-2</v>
      </c>
      <c r="R30" s="30">
        <f t="shared" si="6"/>
        <v>1.0000000000000009E-2</v>
      </c>
      <c r="S30" s="30">
        <f t="shared" si="2"/>
        <v>1.4999929978853688E-2</v>
      </c>
    </row>
    <row r="31" spans="2:19" hidden="1" outlineLevel="1" x14ac:dyDescent="0.3">
      <c r="B31" s="33"/>
      <c r="C31" s="22" t="s">
        <v>46</v>
      </c>
      <c r="D31" s="23">
        <v>11929.68</v>
      </c>
      <c r="E31" s="24">
        <v>14000</v>
      </c>
      <c r="F31" s="24">
        <v>14140</v>
      </c>
      <c r="G31" s="24">
        <v>14281.4</v>
      </c>
      <c r="H31" s="35">
        <f t="shared" si="7"/>
        <v>15120</v>
      </c>
      <c r="I31" s="26">
        <v>14495.62</v>
      </c>
      <c r="J31" s="27"/>
      <c r="K31" s="36">
        <v>15876</v>
      </c>
      <c r="L31" s="28">
        <f t="shared" si="4"/>
        <v>9.1136624569460398</v>
      </c>
      <c r="N31" s="29"/>
      <c r="P31" s="30">
        <f t="shared" si="6"/>
        <v>0.17354363235225079</v>
      </c>
      <c r="Q31" s="30">
        <f t="shared" si="6"/>
        <v>1.0000000000000009E-2</v>
      </c>
      <c r="R31" s="30">
        <f t="shared" si="6"/>
        <v>1.0000000000000009E-2</v>
      </c>
      <c r="S31" s="30">
        <f t="shared" si="2"/>
        <v>1.4999929978853688E-2</v>
      </c>
    </row>
    <row r="32" spans="2:19" hidden="1" outlineLevel="1" x14ac:dyDescent="0.3">
      <c r="B32" s="31" t="s">
        <v>47</v>
      </c>
      <c r="C32" s="22" t="s">
        <v>48</v>
      </c>
      <c r="D32" s="23">
        <v>15696.94</v>
      </c>
      <c r="E32" s="24">
        <v>16502</v>
      </c>
      <c r="F32" s="24">
        <v>16667.02</v>
      </c>
      <c r="G32" s="24">
        <v>16833.689999999999</v>
      </c>
      <c r="H32" s="25">
        <f>+G32</f>
        <v>16833.689999999999</v>
      </c>
      <c r="I32" s="26">
        <v>17086.2</v>
      </c>
      <c r="J32" s="27"/>
      <c r="K32" s="28">
        <f>+I32</f>
        <v>17086.2</v>
      </c>
      <c r="L32" s="28">
        <f t="shared" si="4"/>
        <v>9.8083811710677384</v>
      </c>
      <c r="N32" s="29"/>
      <c r="P32" s="30">
        <f t="shared" si="6"/>
        <v>5.128770320839604E-2</v>
      </c>
      <c r="Q32" s="30">
        <f t="shared" si="6"/>
        <v>1.0000000000000009E-2</v>
      </c>
      <c r="R32" s="30">
        <f t="shared" si="6"/>
        <v>9.9999880002543673E-3</v>
      </c>
      <c r="S32" s="30">
        <f t="shared" si="2"/>
        <v>1.5000276231771137E-2</v>
      </c>
    </row>
    <row r="33" spans="2:19" hidden="1" outlineLevel="1" x14ac:dyDescent="0.3">
      <c r="B33" s="32"/>
      <c r="C33" s="22" t="s">
        <v>49</v>
      </c>
      <c r="D33" s="23">
        <v>13141.66</v>
      </c>
      <c r="E33" s="24">
        <v>14098</v>
      </c>
      <c r="F33" s="24">
        <v>14238.98</v>
      </c>
      <c r="G33" s="24">
        <v>14381.37</v>
      </c>
      <c r="H33" s="35">
        <f t="shared" ref="H33:H36" si="8">14*1080</f>
        <v>15120</v>
      </c>
      <c r="I33" s="26">
        <v>14597.09</v>
      </c>
      <c r="J33" s="27"/>
      <c r="K33" s="36">
        <v>15876</v>
      </c>
      <c r="L33" s="28">
        <f t="shared" si="4"/>
        <v>9.1136624569460398</v>
      </c>
      <c r="N33" s="29"/>
      <c r="P33" s="30">
        <f t="shared" si="6"/>
        <v>7.2771628546165479E-2</v>
      </c>
      <c r="Q33" s="30">
        <f t="shared" si="6"/>
        <v>1.0000000000000009E-2</v>
      </c>
      <c r="R33" s="30">
        <f t="shared" si="6"/>
        <v>1.0000014045949968E-2</v>
      </c>
      <c r="S33" s="30">
        <f t="shared" si="2"/>
        <v>1.4999961756077429E-2</v>
      </c>
    </row>
    <row r="34" spans="2:19" hidden="1" outlineLevel="1" x14ac:dyDescent="0.3">
      <c r="B34" s="32"/>
      <c r="C34" s="22" t="s">
        <v>50</v>
      </c>
      <c r="D34" s="23">
        <v>10799.6</v>
      </c>
      <c r="E34" s="24">
        <v>14000</v>
      </c>
      <c r="F34" s="24">
        <v>14140</v>
      </c>
      <c r="G34" s="24">
        <v>14281.4</v>
      </c>
      <c r="H34" s="35">
        <f t="shared" si="8"/>
        <v>15120</v>
      </c>
      <c r="I34" s="26">
        <v>14495.62</v>
      </c>
      <c r="J34" s="27"/>
      <c r="K34" s="36">
        <v>15876</v>
      </c>
      <c r="L34" s="28">
        <f t="shared" si="4"/>
        <v>9.1136624569460398</v>
      </c>
      <c r="N34" s="29"/>
      <c r="P34" s="30">
        <f t="shared" si="6"/>
        <v>0.29634430904848319</v>
      </c>
      <c r="Q34" s="30">
        <f t="shared" si="6"/>
        <v>1.0000000000000009E-2</v>
      </c>
      <c r="R34" s="30">
        <f t="shared" si="6"/>
        <v>1.0000000000000009E-2</v>
      </c>
      <c r="S34" s="30">
        <f t="shared" si="2"/>
        <v>1.4999929978853688E-2</v>
      </c>
    </row>
    <row r="35" spans="2:19" hidden="1" outlineLevel="1" x14ac:dyDescent="0.3">
      <c r="B35" s="32"/>
      <c r="C35" s="22" t="s">
        <v>51</v>
      </c>
      <c r="D35" s="23">
        <v>10799.6</v>
      </c>
      <c r="E35" s="24">
        <v>14000</v>
      </c>
      <c r="F35" s="24">
        <v>14140</v>
      </c>
      <c r="G35" s="24">
        <v>14281.4</v>
      </c>
      <c r="H35" s="35">
        <f t="shared" si="8"/>
        <v>15120</v>
      </c>
      <c r="I35" s="26">
        <v>14495.62</v>
      </c>
      <c r="J35" s="27"/>
      <c r="K35" s="36">
        <v>15876</v>
      </c>
      <c r="L35" s="28">
        <f t="shared" si="4"/>
        <v>9.1136624569460398</v>
      </c>
      <c r="N35" s="29"/>
      <c r="P35" s="30">
        <f t="shared" si="6"/>
        <v>0.29634430904848319</v>
      </c>
      <c r="Q35" s="30">
        <f t="shared" si="6"/>
        <v>1.0000000000000009E-2</v>
      </c>
      <c r="R35" s="30">
        <f t="shared" si="6"/>
        <v>1.0000000000000009E-2</v>
      </c>
      <c r="S35" s="30">
        <f t="shared" si="2"/>
        <v>1.4999929978853688E-2</v>
      </c>
    </row>
    <row r="36" spans="2:19" hidden="1" outlineLevel="1" x14ac:dyDescent="0.3">
      <c r="B36" s="32"/>
      <c r="C36" s="22" t="s">
        <v>52</v>
      </c>
      <c r="D36" s="23">
        <v>10799.6</v>
      </c>
      <c r="E36" s="24">
        <v>14000</v>
      </c>
      <c r="F36" s="24">
        <v>14140</v>
      </c>
      <c r="G36" s="24">
        <v>14281.4</v>
      </c>
      <c r="H36" s="35">
        <f t="shared" si="8"/>
        <v>15120</v>
      </c>
      <c r="I36" s="26">
        <v>14495.62</v>
      </c>
      <c r="J36" s="27"/>
      <c r="K36" s="36">
        <v>15876</v>
      </c>
      <c r="L36" s="28">
        <f t="shared" si="4"/>
        <v>9.1136624569460398</v>
      </c>
      <c r="N36" s="29"/>
      <c r="P36" s="30">
        <f t="shared" si="6"/>
        <v>0.29634430904848319</v>
      </c>
      <c r="Q36" s="30">
        <f t="shared" si="6"/>
        <v>1.0000000000000009E-2</v>
      </c>
      <c r="R36" s="30">
        <f t="shared" si="6"/>
        <v>1.0000000000000009E-2</v>
      </c>
      <c r="S36" s="30">
        <f t="shared" si="2"/>
        <v>1.4999929978853688E-2</v>
      </c>
    </row>
    <row r="37" spans="2:19" ht="15" hidden="1" outlineLevel="1" thickBot="1" x14ac:dyDescent="0.35">
      <c r="B37" s="33"/>
      <c r="C37" s="22" t="s">
        <v>53</v>
      </c>
      <c r="D37" s="23">
        <v>10799.6</v>
      </c>
      <c r="E37" s="24">
        <v>14000</v>
      </c>
      <c r="F37" s="24">
        <v>14140</v>
      </c>
      <c r="G37" s="24">
        <v>14281.4</v>
      </c>
      <c r="H37" s="35">
        <f>14*1080</f>
        <v>15120</v>
      </c>
      <c r="I37" s="38">
        <v>14495.62</v>
      </c>
      <c r="J37" s="39"/>
      <c r="K37" s="40">
        <v>15876</v>
      </c>
      <c r="L37" s="41">
        <f t="shared" si="4"/>
        <v>9.1136624569460398</v>
      </c>
      <c r="N37" s="29"/>
      <c r="P37" s="30">
        <f t="shared" si="6"/>
        <v>0.29634430904848319</v>
      </c>
      <c r="Q37" s="30">
        <f t="shared" si="6"/>
        <v>1.0000000000000009E-2</v>
      </c>
      <c r="R37" s="30">
        <f t="shared" si="6"/>
        <v>1.0000000000000009E-2</v>
      </c>
      <c r="S37" s="30">
        <f t="shared" si="2"/>
        <v>1.4999929978853688E-2</v>
      </c>
    </row>
    <row r="38" spans="2:19" hidden="1" outlineLevel="1" x14ac:dyDescent="0.3"/>
    <row r="39" spans="2:19" ht="15" hidden="1" customHeight="1" outlineLevel="1" x14ac:dyDescent="0.3">
      <c r="B39" s="42" t="s">
        <v>54</v>
      </c>
      <c r="C39" s="43" t="s">
        <v>55</v>
      </c>
      <c r="D39" s="44"/>
      <c r="E39" s="44"/>
      <c r="F39" s="44"/>
      <c r="G39" s="44"/>
      <c r="H39" s="44"/>
      <c r="I39" s="45"/>
    </row>
    <row r="40" spans="2:19" hidden="1" outlineLevel="1" x14ac:dyDescent="0.3">
      <c r="B40" s="46"/>
      <c r="C40" s="47"/>
      <c r="D40" s="48"/>
      <c r="E40" s="48"/>
      <c r="F40" s="48"/>
      <c r="G40" s="48"/>
      <c r="H40" s="48"/>
      <c r="I40" s="49"/>
    </row>
    <row r="41" spans="2:19" hidden="1" outlineLevel="1" x14ac:dyDescent="0.3">
      <c r="B41" s="46"/>
      <c r="C41" s="47"/>
      <c r="D41" s="48"/>
      <c r="E41" s="48"/>
      <c r="F41" s="48"/>
      <c r="G41" s="48"/>
      <c r="H41" s="48"/>
      <c r="I41" s="49"/>
    </row>
    <row r="42" spans="2:19" hidden="1" outlineLevel="1" x14ac:dyDescent="0.3">
      <c r="B42" s="46"/>
      <c r="C42" s="47"/>
      <c r="D42" s="48"/>
      <c r="E42" s="48"/>
      <c r="F42" s="48"/>
      <c r="G42" s="48"/>
      <c r="H42" s="48"/>
      <c r="I42" s="49"/>
    </row>
    <row r="43" spans="2:19" hidden="1" outlineLevel="1" x14ac:dyDescent="0.3">
      <c r="B43" s="50"/>
      <c r="C43" s="51"/>
      <c r="D43" s="52"/>
      <c r="E43" s="52"/>
      <c r="F43" s="52"/>
      <c r="G43" s="52"/>
      <c r="H43" s="52"/>
      <c r="I43" s="53"/>
    </row>
    <row r="44" spans="2:19" hidden="1" outlineLevel="1" x14ac:dyDescent="0.3"/>
    <row r="45" spans="2:19" ht="38.25" hidden="1" customHeight="1" outlineLevel="1" x14ac:dyDescent="0.3">
      <c r="B45" s="54" t="s">
        <v>56</v>
      </c>
      <c r="C45" s="55" t="s">
        <v>57</v>
      </c>
      <c r="D45" s="56"/>
      <c r="E45" s="56"/>
      <c r="F45" s="56"/>
      <c r="G45" s="56"/>
      <c r="H45" s="56"/>
      <c r="I45" s="57"/>
    </row>
    <row r="46" spans="2:19" hidden="1" outlineLevel="1" x14ac:dyDescent="0.3"/>
    <row r="47" spans="2:19" hidden="1" outlineLevel="1" x14ac:dyDescent="0.3">
      <c r="B47" s="58" t="s">
        <v>58</v>
      </c>
      <c r="C47" s="59" t="s">
        <v>59</v>
      </c>
      <c r="D47" s="60"/>
      <c r="E47" s="60"/>
      <c r="F47" s="60"/>
      <c r="G47" s="60"/>
      <c r="H47" s="60"/>
      <c r="I47" s="61"/>
    </row>
    <row r="48" spans="2:19" ht="38.25" hidden="1" customHeight="1" outlineLevel="1" x14ac:dyDescent="0.3">
      <c r="B48" s="58" t="s">
        <v>60</v>
      </c>
      <c r="C48" s="62" t="s">
        <v>61</v>
      </c>
      <c r="D48" s="62"/>
      <c r="E48" s="62"/>
      <c r="F48" s="62"/>
      <c r="G48" s="62"/>
      <c r="H48" s="62"/>
      <c r="I48" s="62"/>
    </row>
    <row r="49" spans="2:18" hidden="1" outlineLevel="1" x14ac:dyDescent="0.3">
      <c r="B49" s="58" t="s">
        <v>62</v>
      </c>
      <c r="C49" s="59" t="s">
        <v>63</v>
      </c>
      <c r="D49" s="63"/>
      <c r="E49" s="63"/>
      <c r="F49" s="63"/>
      <c r="G49" s="63"/>
      <c r="H49" s="63"/>
      <c r="I49" s="64"/>
    </row>
    <row r="50" spans="2:18" hidden="1" outlineLevel="1" x14ac:dyDescent="0.3"/>
    <row r="51" spans="2:18" collapsed="1" x14ac:dyDescent="0.3"/>
    <row r="52" spans="2:18" ht="20.100000000000001" customHeight="1" x14ac:dyDescent="0.3">
      <c r="B52" s="7" t="s">
        <v>64</v>
      </c>
      <c r="C52" s="8"/>
      <c r="D52" s="9"/>
      <c r="E52" s="9"/>
      <c r="F52" s="9"/>
      <c r="G52" s="8"/>
      <c r="H52" s="8"/>
      <c r="I52" s="8"/>
      <c r="J52" s="8"/>
      <c r="K52" s="8"/>
      <c r="L52" s="8"/>
      <c r="O52" s="6"/>
      <c r="P52" s="6"/>
      <c r="R52" s="29"/>
    </row>
    <row r="53" spans="2:18" hidden="1" outlineLevel="1" x14ac:dyDescent="0.3">
      <c r="D53" s="1"/>
      <c r="E53" s="1"/>
      <c r="F53" s="1"/>
      <c r="L53" s="1" t="s">
        <v>65</v>
      </c>
      <c r="M53" s="65">
        <v>1.2E-2</v>
      </c>
      <c r="O53" s="6"/>
      <c r="P53" s="6"/>
      <c r="R53" s="29"/>
    </row>
    <row r="54" spans="2:18" hidden="1" outlineLevel="1" x14ac:dyDescent="0.3">
      <c r="B54" s="1" t="s">
        <v>66</v>
      </c>
      <c r="C54"/>
      <c r="D54" s="1"/>
      <c r="E54" s="1"/>
      <c r="F54" s="66"/>
      <c r="L54" s="1" t="s">
        <v>67</v>
      </c>
      <c r="M54" s="65">
        <v>0</v>
      </c>
      <c r="O54" s="6"/>
      <c r="P54" s="6"/>
      <c r="R54" s="29"/>
    </row>
    <row r="55" spans="2:18" hidden="1" outlineLevel="1" x14ac:dyDescent="0.3">
      <c r="B55" s="67" t="s">
        <v>68</v>
      </c>
      <c r="C55" s="68"/>
      <c r="D55" s="1"/>
      <c r="E55" s="1"/>
      <c r="F55" s="66"/>
      <c r="G55" s="69" t="s">
        <v>69</v>
      </c>
      <c r="L55" s="1" t="s">
        <v>70</v>
      </c>
      <c r="M55" s="65">
        <v>6.4000000000000001E-2</v>
      </c>
      <c r="Q55" s="70"/>
    </row>
    <row r="56" spans="2:18" hidden="1" outlineLevel="1" x14ac:dyDescent="0.3">
      <c r="B56" s="1" t="s">
        <v>71</v>
      </c>
      <c r="C56" s="71"/>
      <c r="D56"/>
      <c r="E56"/>
      <c r="F56" s="66"/>
      <c r="G56" s="72"/>
      <c r="L56" s="1" t="s">
        <v>72</v>
      </c>
      <c r="M56" s="65">
        <v>5.3999999999999999E-2</v>
      </c>
      <c r="N56" s="71" t="s">
        <v>73</v>
      </c>
      <c r="O56" s="2">
        <v>1645</v>
      </c>
      <c r="P56" s="2">
        <v>1634</v>
      </c>
      <c r="Q56" s="2">
        <v>1620</v>
      </c>
    </row>
    <row r="57" spans="2:18" hidden="1" outlineLevel="1" x14ac:dyDescent="0.3">
      <c r="C57" s="71"/>
      <c r="D57"/>
      <c r="E57"/>
      <c r="F57" s="2">
        <v>1670</v>
      </c>
      <c r="G57" s="73">
        <v>1670</v>
      </c>
      <c r="H57" s="2">
        <v>1663</v>
      </c>
      <c r="I57" s="2">
        <v>1650</v>
      </c>
      <c r="J57" s="1" t="s">
        <v>74</v>
      </c>
      <c r="M57" s="2">
        <v>1650</v>
      </c>
      <c r="P57" s="2" t="s">
        <v>75</v>
      </c>
      <c r="Q57" s="2" t="s">
        <v>76</v>
      </c>
    </row>
    <row r="58" spans="2:18" hidden="1" outlineLevel="1" x14ac:dyDescent="0.3">
      <c r="C58" s="71" t="s">
        <v>73</v>
      </c>
      <c r="D58" s="2">
        <v>1690</v>
      </c>
      <c r="E58" s="2">
        <v>1670</v>
      </c>
      <c r="F58" s="66">
        <v>0.01</v>
      </c>
      <c r="G58" s="74">
        <v>0</v>
      </c>
      <c r="H58" s="75">
        <v>1.4999999999999999E-2</v>
      </c>
      <c r="I58" s="66">
        <v>0.02</v>
      </c>
      <c r="K58" s="10">
        <f>+K60/J60-1</f>
        <v>1.9272399278412289E-2</v>
      </c>
      <c r="L58" s="10">
        <f>+L60/K60-1</f>
        <v>2.8036363636363637E-2</v>
      </c>
      <c r="M58" s="10">
        <f>SUM(M53:M56)+3%-4.5%</f>
        <v>0.115</v>
      </c>
      <c r="O58" s="10">
        <v>3.1E-2</v>
      </c>
      <c r="P58" s="10">
        <f>3.6%+0.7%</f>
        <v>4.3000000000000003E-2</v>
      </c>
      <c r="Q58" s="66">
        <v>0.03</v>
      </c>
    </row>
    <row r="59" spans="2:18" hidden="1" outlineLevel="1" x14ac:dyDescent="0.3">
      <c r="B59" s="76" t="s">
        <v>8</v>
      </c>
      <c r="C59" s="76" t="s">
        <v>9</v>
      </c>
      <c r="D59" s="77">
        <v>2017</v>
      </c>
      <c r="E59" s="77">
        <v>2018</v>
      </c>
      <c r="F59" s="78">
        <v>2019</v>
      </c>
      <c r="G59" s="79">
        <v>2020</v>
      </c>
      <c r="H59" s="80">
        <v>2021</v>
      </c>
      <c r="I59" s="80">
        <v>2022</v>
      </c>
      <c r="J59" s="81">
        <v>2020</v>
      </c>
      <c r="K59" s="2">
        <v>2021</v>
      </c>
      <c r="L59" s="2">
        <v>2022</v>
      </c>
      <c r="M59" s="80">
        <v>2023</v>
      </c>
      <c r="O59" s="82">
        <v>2024</v>
      </c>
      <c r="P59" s="82">
        <v>2025</v>
      </c>
      <c r="Q59" s="82">
        <v>2026</v>
      </c>
    </row>
    <row r="60" spans="2:18" ht="15.6" hidden="1" outlineLevel="1" thickTop="1" thickBot="1" x14ac:dyDescent="0.35">
      <c r="B60" s="83" t="s">
        <v>21</v>
      </c>
      <c r="C60" s="83" t="s">
        <v>22</v>
      </c>
      <c r="D60" s="84">
        <v>27300</v>
      </c>
      <c r="E60" s="84">
        <v>28988.400000000001</v>
      </c>
      <c r="F60" s="85">
        <f t="shared" ref="F60:F89" si="9">+E60+E60*$F$58</f>
        <v>29278.284</v>
      </c>
      <c r="G60" s="86">
        <f>+F60+F60*$G$58</f>
        <v>29278.284</v>
      </c>
      <c r="H60" s="84">
        <f>+G60+G60*$H$58</f>
        <v>29717.458259999999</v>
      </c>
      <c r="I60" s="84">
        <f>+H60+H60*$I$58</f>
        <v>30311.807425200001</v>
      </c>
      <c r="J60" s="87">
        <f>+G60/$G$57</f>
        <v>17.531906586826349</v>
      </c>
      <c r="K60" s="87">
        <f>+H60/$H$57</f>
        <v>17.869788490679493</v>
      </c>
      <c r="L60" s="87">
        <f>+I60/$I$57</f>
        <v>18.370792378909091</v>
      </c>
      <c r="M60" s="84">
        <f>+I60+I60*$M$58</f>
        <v>33797.665279098001</v>
      </c>
      <c r="N60" s="85">
        <f>+M60/$M$57</f>
        <v>20.483433502483638</v>
      </c>
      <c r="O60" s="84">
        <f>M60*(1+$O$58)</f>
        <v>34845.392902750034</v>
      </c>
      <c r="P60" s="84">
        <f>O60*(1+$P$58)</f>
        <v>36343.744797568281</v>
      </c>
      <c r="Q60" s="84">
        <f>P60*(1+$Q$58)</f>
        <v>37434.05714149533</v>
      </c>
      <c r="R60" s="88"/>
    </row>
    <row r="61" spans="2:18" ht="15" hidden="1" outlineLevel="1" thickTop="1" x14ac:dyDescent="0.3">
      <c r="B61" s="89" t="s">
        <v>23</v>
      </c>
      <c r="C61" s="90" t="s">
        <v>24</v>
      </c>
      <c r="D61" s="91">
        <v>23750</v>
      </c>
      <c r="E61" s="91">
        <v>25578</v>
      </c>
      <c r="F61" s="92">
        <f t="shared" si="9"/>
        <v>25833.78</v>
      </c>
      <c r="G61" s="93">
        <f t="shared" ref="G61:G89" si="10">+F61+F61*$G$58</f>
        <v>25833.78</v>
      </c>
      <c r="H61" s="91">
        <f t="shared" ref="H61:H89" si="11">+G61+G61*$H$58</f>
        <v>26221.286700000001</v>
      </c>
      <c r="I61" s="91">
        <f t="shared" ref="I61:I89" si="12">+H61+H61*$I$58</f>
        <v>26745.712434000001</v>
      </c>
      <c r="J61" s="94">
        <f t="shared" ref="J61:J89" si="13">+G61/$G$57</f>
        <v>15.469329341317364</v>
      </c>
      <c r="K61" s="94">
        <f t="shared" ref="K61:K89" si="14">+H61/$H$57</f>
        <v>15.767460432952495</v>
      </c>
      <c r="L61" s="94">
        <f t="shared" ref="L61:L89" si="15">+I61/$I$57</f>
        <v>16.209522687272727</v>
      </c>
      <c r="M61" s="91">
        <f t="shared" ref="M61:M89" si="16">+I61+I61*$M$58</f>
        <v>29821.469363910001</v>
      </c>
      <c r="N61" s="91">
        <f t="shared" ref="N61:N89" si="17">+M61/$M$57</f>
        <v>18.07361779630909</v>
      </c>
      <c r="O61" s="91">
        <f t="shared" ref="O61:O89" si="18">M61*(1+$O$58)</f>
        <v>30745.93491419121</v>
      </c>
      <c r="P61" s="91">
        <f t="shared" ref="P61:P89" si="19">O61*(1+$P$58)</f>
        <v>32068.010115501431</v>
      </c>
      <c r="Q61" s="91">
        <f t="shared" ref="Q61:Q89" si="20">P61*(1+$Q$58)</f>
        <v>33030.050418966472</v>
      </c>
    </row>
    <row r="62" spans="2:18" hidden="1" outlineLevel="1" x14ac:dyDescent="0.3">
      <c r="B62" s="32"/>
      <c r="C62" s="21" t="s">
        <v>25</v>
      </c>
      <c r="D62" s="95">
        <v>23750</v>
      </c>
      <c r="E62" s="95">
        <v>25578</v>
      </c>
      <c r="F62" s="96">
        <f t="shared" si="9"/>
        <v>25833.78</v>
      </c>
      <c r="G62" s="97">
        <f t="shared" si="10"/>
        <v>25833.78</v>
      </c>
      <c r="H62" s="95">
        <f t="shared" si="11"/>
        <v>26221.286700000001</v>
      </c>
      <c r="I62" s="95">
        <f t="shared" si="12"/>
        <v>26745.712434000001</v>
      </c>
      <c r="J62" s="98">
        <f t="shared" si="13"/>
        <v>15.469329341317364</v>
      </c>
      <c r="K62" s="98">
        <f t="shared" si="14"/>
        <v>15.767460432952495</v>
      </c>
      <c r="L62" s="98">
        <f t="shared" si="15"/>
        <v>16.209522687272727</v>
      </c>
      <c r="M62" s="95">
        <f t="shared" si="16"/>
        <v>29821.469363910001</v>
      </c>
      <c r="N62" s="95">
        <f t="shared" si="17"/>
        <v>18.07361779630909</v>
      </c>
      <c r="O62" s="95">
        <f t="shared" si="18"/>
        <v>30745.93491419121</v>
      </c>
      <c r="P62" s="95">
        <f t="shared" si="19"/>
        <v>32068.010115501431</v>
      </c>
      <c r="Q62" s="95">
        <f t="shared" si="20"/>
        <v>33030.050418966472</v>
      </c>
    </row>
    <row r="63" spans="2:18" hidden="1" outlineLevel="1" x14ac:dyDescent="0.3">
      <c r="B63" s="32"/>
      <c r="C63" s="21" t="s">
        <v>77</v>
      </c>
      <c r="D63" s="95">
        <v>22525</v>
      </c>
      <c r="E63" s="95">
        <v>24299.1</v>
      </c>
      <c r="F63" s="96">
        <f t="shared" si="9"/>
        <v>24542.091</v>
      </c>
      <c r="G63" s="97">
        <f t="shared" si="10"/>
        <v>24542.091</v>
      </c>
      <c r="H63" s="95">
        <f t="shared" si="11"/>
        <v>24910.222365000001</v>
      </c>
      <c r="I63" s="95">
        <f t="shared" si="12"/>
        <v>25408.4268123</v>
      </c>
      <c r="J63" s="98">
        <f t="shared" si="13"/>
        <v>14.695862874251498</v>
      </c>
      <c r="K63" s="98">
        <f t="shared" si="14"/>
        <v>14.979087411304871</v>
      </c>
      <c r="L63" s="98">
        <f t="shared" si="15"/>
        <v>15.399046552909091</v>
      </c>
      <c r="M63" s="95">
        <f t="shared" si="16"/>
        <v>28330.395895714501</v>
      </c>
      <c r="N63" s="95">
        <f t="shared" si="17"/>
        <v>17.169936906493636</v>
      </c>
      <c r="O63" s="95">
        <f t="shared" si="18"/>
        <v>29208.638168481648</v>
      </c>
      <c r="P63" s="95">
        <f>O63*(1+$P$58)</f>
        <v>30464.609609726358</v>
      </c>
      <c r="Q63" s="95">
        <f t="shared" si="20"/>
        <v>31378.547898018151</v>
      </c>
    </row>
    <row r="64" spans="2:18" hidden="1" outlineLevel="1" x14ac:dyDescent="0.3">
      <c r="B64" s="32"/>
      <c r="C64" s="21" t="s">
        <v>27</v>
      </c>
      <c r="D64" s="95">
        <v>22525</v>
      </c>
      <c r="E64" s="95">
        <v>24299.1</v>
      </c>
      <c r="F64" s="96">
        <f t="shared" si="9"/>
        <v>24542.091</v>
      </c>
      <c r="G64" s="97">
        <f t="shared" si="10"/>
        <v>24542.091</v>
      </c>
      <c r="H64" s="95">
        <f t="shared" si="11"/>
        <v>24910.222365000001</v>
      </c>
      <c r="I64" s="95">
        <f t="shared" si="12"/>
        <v>25408.4268123</v>
      </c>
      <c r="J64" s="98">
        <f t="shared" si="13"/>
        <v>14.695862874251498</v>
      </c>
      <c r="K64" s="98">
        <f t="shared" si="14"/>
        <v>14.979087411304871</v>
      </c>
      <c r="L64" s="98">
        <f t="shared" si="15"/>
        <v>15.399046552909091</v>
      </c>
      <c r="M64" s="95">
        <f t="shared" si="16"/>
        <v>28330.395895714501</v>
      </c>
      <c r="N64" s="95">
        <f t="shared" si="17"/>
        <v>17.169936906493636</v>
      </c>
      <c r="O64" s="95">
        <f t="shared" si="18"/>
        <v>29208.638168481648</v>
      </c>
      <c r="P64" s="95">
        <f t="shared" si="19"/>
        <v>30464.609609726358</v>
      </c>
      <c r="Q64" s="95">
        <f t="shared" si="20"/>
        <v>31378.547898018151</v>
      </c>
    </row>
    <row r="65" spans="2:17" ht="15" hidden="1" outlineLevel="1" thickBot="1" x14ac:dyDescent="0.35">
      <c r="B65" s="99"/>
      <c r="C65" s="100" t="s">
        <v>28</v>
      </c>
      <c r="D65" s="101">
        <v>22525</v>
      </c>
      <c r="E65" s="101">
        <v>24299.1</v>
      </c>
      <c r="F65" s="102">
        <f t="shared" si="9"/>
        <v>24542.091</v>
      </c>
      <c r="G65" s="103">
        <f t="shared" si="10"/>
        <v>24542.091</v>
      </c>
      <c r="H65" s="101">
        <f t="shared" si="11"/>
        <v>24910.222365000001</v>
      </c>
      <c r="I65" s="101">
        <f t="shared" si="12"/>
        <v>25408.4268123</v>
      </c>
      <c r="J65" s="104">
        <f t="shared" si="13"/>
        <v>14.695862874251498</v>
      </c>
      <c r="K65" s="104">
        <f t="shared" si="14"/>
        <v>14.979087411304871</v>
      </c>
      <c r="L65" s="104">
        <f t="shared" si="15"/>
        <v>15.399046552909091</v>
      </c>
      <c r="M65" s="101">
        <f t="shared" si="16"/>
        <v>28330.395895714501</v>
      </c>
      <c r="N65" s="101">
        <f t="shared" si="17"/>
        <v>17.169936906493636</v>
      </c>
      <c r="O65" s="101">
        <f t="shared" si="18"/>
        <v>29208.638168481648</v>
      </c>
      <c r="P65" s="101">
        <f t="shared" si="19"/>
        <v>30464.609609726358</v>
      </c>
      <c r="Q65" s="101">
        <f t="shared" si="20"/>
        <v>31378.547898018151</v>
      </c>
    </row>
    <row r="66" spans="2:17" ht="15" hidden="1" outlineLevel="1" thickTop="1" x14ac:dyDescent="0.3">
      <c r="B66" s="89" t="s">
        <v>29</v>
      </c>
      <c r="C66" s="90" t="s">
        <v>78</v>
      </c>
      <c r="D66" s="91">
        <v>21300</v>
      </c>
      <c r="E66" s="91">
        <v>23020.2</v>
      </c>
      <c r="F66" s="92">
        <f t="shared" si="9"/>
        <v>23250.402000000002</v>
      </c>
      <c r="G66" s="93">
        <f t="shared" si="10"/>
        <v>23250.402000000002</v>
      </c>
      <c r="H66" s="91">
        <f t="shared" si="11"/>
        <v>23599.158030000002</v>
      </c>
      <c r="I66" s="91">
        <f t="shared" si="12"/>
        <v>24071.141190600003</v>
      </c>
      <c r="J66" s="94">
        <f t="shared" si="13"/>
        <v>13.92239640718563</v>
      </c>
      <c r="K66" s="94">
        <f t="shared" si="14"/>
        <v>14.190714389657247</v>
      </c>
      <c r="L66" s="94">
        <f t="shared" si="15"/>
        <v>14.588570418545457</v>
      </c>
      <c r="M66" s="91">
        <f t="shared" si="16"/>
        <v>26839.322427519004</v>
      </c>
      <c r="N66" s="91">
        <f t="shared" si="17"/>
        <v>16.266256016678184</v>
      </c>
      <c r="O66" s="91">
        <f t="shared" si="18"/>
        <v>27671.34142277209</v>
      </c>
      <c r="P66" s="91">
        <f t="shared" si="19"/>
        <v>28861.209103951289</v>
      </c>
      <c r="Q66" s="91">
        <f t="shared" si="20"/>
        <v>29727.04537706983</v>
      </c>
    </row>
    <row r="67" spans="2:17" hidden="1" outlineLevel="1" x14ac:dyDescent="0.3">
      <c r="B67" s="32"/>
      <c r="C67" s="21" t="s">
        <v>30</v>
      </c>
      <c r="D67" s="95">
        <v>21300</v>
      </c>
      <c r="E67" s="95">
        <v>23020.2</v>
      </c>
      <c r="F67" s="96">
        <f t="shared" si="9"/>
        <v>23250.402000000002</v>
      </c>
      <c r="G67" s="97">
        <f t="shared" si="10"/>
        <v>23250.402000000002</v>
      </c>
      <c r="H67" s="95">
        <f t="shared" si="11"/>
        <v>23599.158030000002</v>
      </c>
      <c r="I67" s="95">
        <f t="shared" si="12"/>
        <v>24071.141190600003</v>
      </c>
      <c r="J67" s="98">
        <f t="shared" si="13"/>
        <v>13.92239640718563</v>
      </c>
      <c r="K67" s="98">
        <f t="shared" si="14"/>
        <v>14.190714389657247</v>
      </c>
      <c r="L67" s="98">
        <f t="shared" si="15"/>
        <v>14.588570418545457</v>
      </c>
      <c r="M67" s="95">
        <f t="shared" si="16"/>
        <v>26839.322427519004</v>
      </c>
      <c r="N67" s="95">
        <f t="shared" si="17"/>
        <v>16.266256016678184</v>
      </c>
      <c r="O67" s="95">
        <f t="shared" si="18"/>
        <v>27671.34142277209</v>
      </c>
      <c r="P67" s="95">
        <f t="shared" si="19"/>
        <v>28861.209103951289</v>
      </c>
      <c r="Q67" s="95">
        <f t="shared" si="20"/>
        <v>29727.04537706983</v>
      </c>
    </row>
    <row r="68" spans="2:17" hidden="1" outlineLevel="1" x14ac:dyDescent="0.3">
      <c r="B68" s="32"/>
      <c r="C68" s="105" t="s">
        <v>79</v>
      </c>
      <c r="D68" s="95"/>
      <c r="E68" s="95"/>
      <c r="F68" s="96">
        <f>+F67</f>
        <v>23250.402000000002</v>
      </c>
      <c r="G68" s="97">
        <f t="shared" si="10"/>
        <v>23250.402000000002</v>
      </c>
      <c r="H68" s="95">
        <f t="shared" si="11"/>
        <v>23599.158030000002</v>
      </c>
      <c r="I68" s="95">
        <f t="shared" si="12"/>
        <v>24071.141190600003</v>
      </c>
      <c r="J68" s="98">
        <f t="shared" si="13"/>
        <v>13.92239640718563</v>
      </c>
      <c r="K68" s="98">
        <f t="shared" si="14"/>
        <v>14.190714389657247</v>
      </c>
      <c r="L68" s="98">
        <f t="shared" si="15"/>
        <v>14.588570418545457</v>
      </c>
      <c r="M68" s="95">
        <f t="shared" si="16"/>
        <v>26839.322427519004</v>
      </c>
      <c r="N68" s="95">
        <f t="shared" si="17"/>
        <v>16.266256016678184</v>
      </c>
      <c r="O68" s="95">
        <f t="shared" si="18"/>
        <v>27671.34142277209</v>
      </c>
      <c r="P68" s="95">
        <f t="shared" si="19"/>
        <v>28861.209103951289</v>
      </c>
      <c r="Q68" s="95">
        <f t="shared" si="20"/>
        <v>29727.04537706983</v>
      </c>
    </row>
    <row r="69" spans="2:17" hidden="1" outlineLevel="1" x14ac:dyDescent="0.3">
      <c r="B69" s="32"/>
      <c r="C69" s="105" t="s">
        <v>80</v>
      </c>
      <c r="D69" s="95"/>
      <c r="E69" s="95"/>
      <c r="F69" s="96">
        <f>+F68</f>
        <v>23250.402000000002</v>
      </c>
      <c r="G69" s="97">
        <f t="shared" si="10"/>
        <v>23250.402000000002</v>
      </c>
      <c r="H69" s="95">
        <f t="shared" si="11"/>
        <v>23599.158030000002</v>
      </c>
      <c r="I69" s="95">
        <f t="shared" si="12"/>
        <v>24071.141190600003</v>
      </c>
      <c r="J69" s="98">
        <f t="shared" si="13"/>
        <v>13.92239640718563</v>
      </c>
      <c r="K69" s="98">
        <f t="shared" si="14"/>
        <v>14.190714389657247</v>
      </c>
      <c r="L69" s="98">
        <f t="shared" si="15"/>
        <v>14.588570418545457</v>
      </c>
      <c r="M69" s="95">
        <f t="shared" si="16"/>
        <v>26839.322427519004</v>
      </c>
      <c r="N69" s="95">
        <f t="shared" si="17"/>
        <v>16.266256016678184</v>
      </c>
      <c r="O69" s="95">
        <f t="shared" si="18"/>
        <v>27671.34142277209</v>
      </c>
      <c r="P69" s="95">
        <f t="shared" si="19"/>
        <v>28861.209103951289</v>
      </c>
      <c r="Q69" s="95">
        <f t="shared" si="20"/>
        <v>29727.04537706983</v>
      </c>
    </row>
    <row r="70" spans="2:17" hidden="1" outlineLevel="1" x14ac:dyDescent="0.3">
      <c r="B70" s="32"/>
      <c r="C70" s="105" t="s">
        <v>81</v>
      </c>
      <c r="D70" s="95"/>
      <c r="E70" s="95"/>
      <c r="F70" s="96">
        <f>+F69</f>
        <v>23250.402000000002</v>
      </c>
      <c r="G70" s="97">
        <f t="shared" si="10"/>
        <v>23250.402000000002</v>
      </c>
      <c r="H70" s="95">
        <f t="shared" si="11"/>
        <v>23599.158030000002</v>
      </c>
      <c r="I70" s="95">
        <f t="shared" si="12"/>
        <v>24071.141190600003</v>
      </c>
      <c r="J70" s="98">
        <f t="shared" si="13"/>
        <v>13.92239640718563</v>
      </c>
      <c r="K70" s="98">
        <f t="shared" si="14"/>
        <v>14.190714389657247</v>
      </c>
      <c r="L70" s="98">
        <f t="shared" si="15"/>
        <v>14.588570418545457</v>
      </c>
      <c r="M70" s="95">
        <f t="shared" si="16"/>
        <v>26839.322427519004</v>
      </c>
      <c r="N70" s="95">
        <f t="shared" si="17"/>
        <v>16.266256016678184</v>
      </c>
      <c r="O70" s="95">
        <f t="shared" si="18"/>
        <v>27671.34142277209</v>
      </c>
      <c r="P70" s="95">
        <f t="shared" si="19"/>
        <v>28861.209103951289</v>
      </c>
      <c r="Q70" s="95">
        <f t="shared" si="20"/>
        <v>29727.04537706983</v>
      </c>
    </row>
    <row r="71" spans="2:17" hidden="1" outlineLevel="1" x14ac:dyDescent="0.3">
      <c r="B71" s="32"/>
      <c r="C71" s="21" t="s">
        <v>31</v>
      </c>
      <c r="D71" s="95">
        <v>21300</v>
      </c>
      <c r="E71" s="95">
        <v>23020.2</v>
      </c>
      <c r="F71" s="96">
        <f t="shared" si="9"/>
        <v>23250.402000000002</v>
      </c>
      <c r="G71" s="97">
        <f t="shared" si="10"/>
        <v>23250.402000000002</v>
      </c>
      <c r="H71" s="95">
        <f t="shared" si="11"/>
        <v>23599.158030000002</v>
      </c>
      <c r="I71" s="95">
        <f t="shared" si="12"/>
        <v>24071.141190600003</v>
      </c>
      <c r="J71" s="98">
        <f t="shared" si="13"/>
        <v>13.92239640718563</v>
      </c>
      <c r="K71" s="98">
        <f t="shared" si="14"/>
        <v>14.190714389657247</v>
      </c>
      <c r="L71" s="98">
        <f t="shared" si="15"/>
        <v>14.588570418545457</v>
      </c>
      <c r="M71" s="95">
        <f t="shared" si="16"/>
        <v>26839.322427519004</v>
      </c>
      <c r="N71" s="95">
        <f t="shared" si="17"/>
        <v>16.266256016678184</v>
      </c>
      <c r="O71" s="95">
        <f t="shared" si="18"/>
        <v>27671.34142277209</v>
      </c>
      <c r="P71" s="95">
        <f t="shared" si="19"/>
        <v>28861.209103951289</v>
      </c>
      <c r="Q71" s="95">
        <f t="shared" si="20"/>
        <v>29727.04537706983</v>
      </c>
    </row>
    <row r="72" spans="2:17" hidden="1" outlineLevel="1" x14ac:dyDescent="0.3">
      <c r="B72" s="32"/>
      <c r="C72" s="21" t="s">
        <v>32</v>
      </c>
      <c r="D72" s="95">
        <v>21300</v>
      </c>
      <c r="E72" s="95">
        <v>23020.2</v>
      </c>
      <c r="F72" s="96">
        <f t="shared" si="9"/>
        <v>23250.402000000002</v>
      </c>
      <c r="G72" s="97">
        <f t="shared" si="10"/>
        <v>23250.402000000002</v>
      </c>
      <c r="H72" s="95">
        <f t="shared" si="11"/>
        <v>23599.158030000002</v>
      </c>
      <c r="I72" s="95">
        <f t="shared" si="12"/>
        <v>24071.141190600003</v>
      </c>
      <c r="J72" s="98">
        <f t="shared" si="13"/>
        <v>13.92239640718563</v>
      </c>
      <c r="K72" s="98">
        <f t="shared" si="14"/>
        <v>14.190714389657247</v>
      </c>
      <c r="L72" s="98">
        <f t="shared" si="15"/>
        <v>14.588570418545457</v>
      </c>
      <c r="M72" s="95">
        <f t="shared" si="16"/>
        <v>26839.322427519004</v>
      </c>
      <c r="N72" s="95">
        <f t="shared" si="17"/>
        <v>16.266256016678184</v>
      </c>
      <c r="O72" s="95">
        <f t="shared" si="18"/>
        <v>27671.34142277209</v>
      </c>
      <c r="P72" s="95">
        <f t="shared" si="19"/>
        <v>28861.209103951289</v>
      </c>
      <c r="Q72" s="95">
        <f t="shared" si="20"/>
        <v>29727.04537706983</v>
      </c>
    </row>
    <row r="73" spans="2:17" hidden="1" outlineLevel="1" x14ac:dyDescent="0.3">
      <c r="B73" s="32"/>
      <c r="C73" s="21" t="s">
        <v>82</v>
      </c>
      <c r="D73" s="95">
        <v>20500</v>
      </c>
      <c r="E73" s="95">
        <v>21760.1</v>
      </c>
      <c r="F73" s="96">
        <f t="shared" si="9"/>
        <v>21977.700999999997</v>
      </c>
      <c r="G73" s="97">
        <f t="shared" si="10"/>
        <v>21977.700999999997</v>
      </c>
      <c r="H73" s="95">
        <f t="shared" si="11"/>
        <v>22307.366514999998</v>
      </c>
      <c r="I73" s="95">
        <f t="shared" si="12"/>
        <v>22753.513845299996</v>
      </c>
      <c r="J73" s="98">
        <f t="shared" si="13"/>
        <v>13.160299999999998</v>
      </c>
      <c r="K73" s="98">
        <f t="shared" si="14"/>
        <v>13.413930556223692</v>
      </c>
      <c r="L73" s="98">
        <f t="shared" si="15"/>
        <v>13.790008391090907</v>
      </c>
      <c r="M73" s="95">
        <f t="shared" si="16"/>
        <v>25370.167937509497</v>
      </c>
      <c r="N73" s="95">
        <f t="shared" si="17"/>
        <v>15.375859356066362</v>
      </c>
      <c r="O73" s="95">
        <f t="shared" si="18"/>
        <v>26156.643143572288</v>
      </c>
      <c r="P73" s="95">
        <f t="shared" si="19"/>
        <v>27281.378798745893</v>
      </c>
      <c r="Q73" s="95">
        <f t="shared" si="20"/>
        <v>28099.820162708271</v>
      </c>
    </row>
    <row r="74" spans="2:17" hidden="1" outlineLevel="1" x14ac:dyDescent="0.3">
      <c r="B74" s="32"/>
      <c r="C74" s="21" t="s">
        <v>83</v>
      </c>
      <c r="D74" s="95"/>
      <c r="E74" s="95"/>
      <c r="F74" s="96">
        <f>+F73</f>
        <v>21977.700999999997</v>
      </c>
      <c r="G74" s="97">
        <f t="shared" si="10"/>
        <v>21977.700999999997</v>
      </c>
      <c r="H74" s="95">
        <f t="shared" si="11"/>
        <v>22307.366514999998</v>
      </c>
      <c r="I74" s="95">
        <f t="shared" si="12"/>
        <v>22753.513845299996</v>
      </c>
      <c r="J74" s="98">
        <f t="shared" si="13"/>
        <v>13.160299999999998</v>
      </c>
      <c r="K74" s="98">
        <f t="shared" si="14"/>
        <v>13.413930556223692</v>
      </c>
      <c r="L74" s="98">
        <f t="shared" si="15"/>
        <v>13.790008391090907</v>
      </c>
      <c r="M74" s="95">
        <f t="shared" si="16"/>
        <v>25370.167937509497</v>
      </c>
      <c r="N74" s="95">
        <f t="shared" si="17"/>
        <v>15.375859356066362</v>
      </c>
      <c r="O74" s="95">
        <f t="shared" si="18"/>
        <v>26156.643143572288</v>
      </c>
      <c r="P74" s="95">
        <f t="shared" si="19"/>
        <v>27281.378798745893</v>
      </c>
      <c r="Q74" s="95">
        <f t="shared" si="20"/>
        <v>28099.820162708271</v>
      </c>
    </row>
    <row r="75" spans="2:17" hidden="1" outlineLevel="1" x14ac:dyDescent="0.3">
      <c r="B75" s="32"/>
      <c r="C75" s="21" t="s">
        <v>34</v>
      </c>
      <c r="D75" s="95">
        <v>20500</v>
      </c>
      <c r="E75" s="95">
        <v>21760.1</v>
      </c>
      <c r="F75" s="96">
        <f t="shared" si="9"/>
        <v>21977.700999999997</v>
      </c>
      <c r="G75" s="97">
        <f t="shared" si="10"/>
        <v>21977.700999999997</v>
      </c>
      <c r="H75" s="95">
        <f t="shared" si="11"/>
        <v>22307.366514999998</v>
      </c>
      <c r="I75" s="95">
        <f t="shared" si="12"/>
        <v>22753.513845299996</v>
      </c>
      <c r="J75" s="98">
        <f t="shared" si="13"/>
        <v>13.160299999999998</v>
      </c>
      <c r="K75" s="98">
        <f t="shared" si="14"/>
        <v>13.413930556223692</v>
      </c>
      <c r="L75" s="98">
        <f t="shared" si="15"/>
        <v>13.790008391090907</v>
      </c>
      <c r="M75" s="95">
        <f t="shared" si="16"/>
        <v>25370.167937509497</v>
      </c>
      <c r="N75" s="95">
        <f t="shared" si="17"/>
        <v>15.375859356066362</v>
      </c>
      <c r="O75" s="95">
        <f t="shared" si="18"/>
        <v>26156.643143572288</v>
      </c>
      <c r="P75" s="95">
        <f t="shared" si="19"/>
        <v>27281.378798745893</v>
      </c>
      <c r="Q75" s="95">
        <f t="shared" si="20"/>
        <v>28099.820162708271</v>
      </c>
    </row>
    <row r="76" spans="2:17" ht="15" hidden="1" outlineLevel="1" thickBot="1" x14ac:dyDescent="0.35">
      <c r="B76" s="99"/>
      <c r="C76" s="100" t="s">
        <v>84</v>
      </c>
      <c r="D76" s="101">
        <v>18320</v>
      </c>
      <c r="E76" s="101">
        <v>19445.21</v>
      </c>
      <c r="F76" s="106">
        <f>+F77</f>
        <v>21183.6996</v>
      </c>
      <c r="G76" s="103">
        <f t="shared" si="10"/>
        <v>21183.6996</v>
      </c>
      <c r="H76" s="101">
        <f t="shared" si="11"/>
        <v>21501.455094000001</v>
      </c>
      <c r="I76" s="101">
        <f t="shared" si="12"/>
        <v>21931.484195880003</v>
      </c>
      <c r="J76" s="104">
        <f t="shared" si="13"/>
        <v>12.68485005988024</v>
      </c>
      <c r="K76" s="104">
        <f t="shared" si="14"/>
        <v>12.929317555021047</v>
      </c>
      <c r="L76" s="104">
        <f t="shared" si="15"/>
        <v>13.291808603563638</v>
      </c>
      <c r="M76" s="101">
        <f t="shared" si="16"/>
        <v>24453.604878406204</v>
      </c>
      <c r="N76" s="101">
        <f t="shared" si="17"/>
        <v>14.820366592973457</v>
      </c>
      <c r="O76" s="101">
        <f t="shared" si="18"/>
        <v>25211.666629636795</v>
      </c>
      <c r="P76" s="101">
        <f t="shared" si="19"/>
        <v>26295.768294711175</v>
      </c>
      <c r="Q76" s="101">
        <f t="shared" si="20"/>
        <v>27084.64134355251</v>
      </c>
    </row>
    <row r="77" spans="2:17" ht="15" hidden="1" outlineLevel="1" thickTop="1" x14ac:dyDescent="0.3">
      <c r="B77" s="89" t="s">
        <v>39</v>
      </c>
      <c r="C77" s="90" t="s">
        <v>85</v>
      </c>
      <c r="D77" s="91">
        <v>19700</v>
      </c>
      <c r="E77" s="91">
        <v>20973.96</v>
      </c>
      <c r="F77" s="92">
        <f t="shared" si="9"/>
        <v>21183.6996</v>
      </c>
      <c r="G77" s="93">
        <f t="shared" si="10"/>
        <v>21183.6996</v>
      </c>
      <c r="H77" s="91">
        <f t="shared" si="11"/>
        <v>21501.455094000001</v>
      </c>
      <c r="I77" s="91">
        <f t="shared" si="12"/>
        <v>21931.484195880003</v>
      </c>
      <c r="J77" s="94">
        <f t="shared" si="13"/>
        <v>12.68485005988024</v>
      </c>
      <c r="K77" s="94">
        <f t="shared" si="14"/>
        <v>12.929317555021047</v>
      </c>
      <c r="L77" s="94">
        <f t="shared" si="15"/>
        <v>13.291808603563638</v>
      </c>
      <c r="M77" s="91">
        <f t="shared" si="16"/>
        <v>24453.604878406204</v>
      </c>
      <c r="N77" s="91">
        <f t="shared" si="17"/>
        <v>14.820366592973457</v>
      </c>
      <c r="O77" s="91">
        <f t="shared" si="18"/>
        <v>25211.666629636795</v>
      </c>
      <c r="P77" s="91">
        <f t="shared" si="19"/>
        <v>26295.768294711175</v>
      </c>
      <c r="Q77" s="91">
        <f t="shared" si="20"/>
        <v>27084.64134355251</v>
      </c>
    </row>
    <row r="78" spans="2:17" ht="15" hidden="1" outlineLevel="1" thickBot="1" x14ac:dyDescent="0.35">
      <c r="B78" s="99"/>
      <c r="C78" s="100" t="s">
        <v>86</v>
      </c>
      <c r="D78" s="101">
        <v>19700</v>
      </c>
      <c r="E78" s="101">
        <v>20973.96</v>
      </c>
      <c r="F78" s="102">
        <f t="shared" si="9"/>
        <v>21183.6996</v>
      </c>
      <c r="G78" s="103">
        <f t="shared" si="10"/>
        <v>21183.6996</v>
      </c>
      <c r="H78" s="101">
        <f t="shared" si="11"/>
        <v>21501.455094000001</v>
      </c>
      <c r="I78" s="101">
        <f t="shared" si="12"/>
        <v>21931.484195880003</v>
      </c>
      <c r="J78" s="104">
        <f t="shared" si="13"/>
        <v>12.68485005988024</v>
      </c>
      <c r="K78" s="104">
        <f t="shared" si="14"/>
        <v>12.929317555021047</v>
      </c>
      <c r="L78" s="104">
        <f t="shared" si="15"/>
        <v>13.291808603563638</v>
      </c>
      <c r="M78" s="101">
        <f t="shared" si="16"/>
        <v>24453.604878406204</v>
      </c>
      <c r="N78" s="101">
        <f t="shared" si="17"/>
        <v>14.820366592973457</v>
      </c>
      <c r="O78" s="101">
        <f t="shared" si="18"/>
        <v>25211.666629636795</v>
      </c>
      <c r="P78" s="101">
        <f t="shared" si="19"/>
        <v>26295.768294711175</v>
      </c>
      <c r="Q78" s="101">
        <f t="shared" si="20"/>
        <v>27084.64134355251</v>
      </c>
    </row>
    <row r="79" spans="2:17" ht="15" hidden="1" outlineLevel="1" thickTop="1" x14ac:dyDescent="0.3">
      <c r="B79" s="89" t="s">
        <v>42</v>
      </c>
      <c r="C79" s="90" t="s">
        <v>43</v>
      </c>
      <c r="D79" s="91">
        <v>19700</v>
      </c>
      <c r="E79" s="91">
        <v>20973.96</v>
      </c>
      <c r="F79" s="92">
        <f t="shared" si="9"/>
        <v>21183.6996</v>
      </c>
      <c r="G79" s="93">
        <f t="shared" si="10"/>
        <v>21183.6996</v>
      </c>
      <c r="H79" s="91">
        <f t="shared" si="11"/>
        <v>21501.455094000001</v>
      </c>
      <c r="I79" s="91">
        <f t="shared" si="12"/>
        <v>21931.484195880003</v>
      </c>
      <c r="J79" s="94">
        <f t="shared" si="13"/>
        <v>12.68485005988024</v>
      </c>
      <c r="K79" s="94">
        <f t="shared" si="14"/>
        <v>12.929317555021047</v>
      </c>
      <c r="L79" s="94">
        <f t="shared" si="15"/>
        <v>13.291808603563638</v>
      </c>
      <c r="M79" s="91">
        <f t="shared" si="16"/>
        <v>24453.604878406204</v>
      </c>
      <c r="N79" s="91">
        <f t="shared" si="17"/>
        <v>14.820366592973457</v>
      </c>
      <c r="O79" s="91">
        <f t="shared" si="18"/>
        <v>25211.666629636795</v>
      </c>
      <c r="P79" s="91">
        <f t="shared" si="19"/>
        <v>26295.768294711175</v>
      </c>
      <c r="Q79" s="91">
        <f t="shared" si="20"/>
        <v>27084.64134355251</v>
      </c>
    </row>
    <row r="80" spans="2:17" hidden="1" outlineLevel="1" x14ac:dyDescent="0.3">
      <c r="B80" s="32"/>
      <c r="C80" s="21" t="s">
        <v>44</v>
      </c>
      <c r="D80" s="95">
        <v>20500</v>
      </c>
      <c r="E80" s="95">
        <v>21760.1</v>
      </c>
      <c r="F80" s="96">
        <f t="shared" si="9"/>
        <v>21977.700999999997</v>
      </c>
      <c r="G80" s="97">
        <f t="shared" si="10"/>
        <v>21977.700999999997</v>
      </c>
      <c r="H80" s="95">
        <f t="shared" si="11"/>
        <v>22307.366514999998</v>
      </c>
      <c r="I80" s="95">
        <f t="shared" si="12"/>
        <v>22753.513845299996</v>
      </c>
      <c r="J80" s="98">
        <f t="shared" si="13"/>
        <v>13.160299999999998</v>
      </c>
      <c r="K80" s="98">
        <f t="shared" si="14"/>
        <v>13.413930556223692</v>
      </c>
      <c r="L80" s="98">
        <f t="shared" si="15"/>
        <v>13.790008391090907</v>
      </c>
      <c r="M80" s="95">
        <f t="shared" si="16"/>
        <v>25370.167937509497</v>
      </c>
      <c r="N80" s="95">
        <f t="shared" si="17"/>
        <v>15.375859356066362</v>
      </c>
      <c r="O80" s="95">
        <f t="shared" si="18"/>
        <v>26156.643143572288</v>
      </c>
      <c r="P80" s="95">
        <f t="shared" si="19"/>
        <v>27281.378798745893</v>
      </c>
      <c r="Q80" s="95">
        <f t="shared" si="20"/>
        <v>28099.820162708271</v>
      </c>
    </row>
    <row r="81" spans="2:17" hidden="1" outlineLevel="1" x14ac:dyDescent="0.3">
      <c r="B81" s="32"/>
      <c r="C81" s="21" t="s">
        <v>45</v>
      </c>
      <c r="D81" s="95">
        <v>18320</v>
      </c>
      <c r="E81" s="95">
        <v>19445.21</v>
      </c>
      <c r="F81" s="96">
        <f t="shared" si="9"/>
        <v>19639.662099999998</v>
      </c>
      <c r="G81" s="97">
        <f t="shared" si="10"/>
        <v>19639.662099999998</v>
      </c>
      <c r="H81" s="95">
        <f t="shared" si="11"/>
        <v>19934.257031499998</v>
      </c>
      <c r="I81" s="95">
        <f t="shared" si="12"/>
        <v>20332.942172129999</v>
      </c>
      <c r="J81" s="98">
        <f t="shared" si="13"/>
        <v>11.760276706586826</v>
      </c>
      <c r="K81" s="98">
        <f t="shared" si="14"/>
        <v>11.98692545490078</v>
      </c>
      <c r="L81" s="98">
        <f t="shared" si="15"/>
        <v>12.322995255836362</v>
      </c>
      <c r="M81" s="95">
        <f t="shared" si="16"/>
        <v>22671.23052192495</v>
      </c>
      <c r="N81" s="95">
        <f t="shared" si="17"/>
        <v>13.740139710257546</v>
      </c>
      <c r="O81" s="95">
        <f t="shared" si="18"/>
        <v>23374.038668104622</v>
      </c>
      <c r="P81" s="95">
        <f t="shared" si="19"/>
        <v>24379.122330833117</v>
      </c>
      <c r="Q81" s="95">
        <f t="shared" si="20"/>
        <v>25110.49600075811</v>
      </c>
    </row>
    <row r="82" spans="2:17" ht="15" hidden="1" outlineLevel="1" thickBot="1" x14ac:dyDescent="0.35">
      <c r="B82" s="99"/>
      <c r="C82" s="100" t="s">
        <v>46</v>
      </c>
      <c r="D82" s="101">
        <v>17450</v>
      </c>
      <c r="E82" s="101">
        <v>18270</v>
      </c>
      <c r="F82" s="102">
        <f t="shared" si="9"/>
        <v>18452.7</v>
      </c>
      <c r="G82" s="103">
        <f t="shared" si="10"/>
        <v>18452.7</v>
      </c>
      <c r="H82" s="101">
        <f t="shared" si="11"/>
        <v>18729.4905</v>
      </c>
      <c r="I82" s="101">
        <f t="shared" si="12"/>
        <v>19104.080310000001</v>
      </c>
      <c r="J82" s="104">
        <f t="shared" si="13"/>
        <v>11.049520958083832</v>
      </c>
      <c r="K82" s="104">
        <f t="shared" si="14"/>
        <v>11.26247173782321</v>
      </c>
      <c r="L82" s="104">
        <f t="shared" si="15"/>
        <v>11.578230490909093</v>
      </c>
      <c r="M82" s="101">
        <f t="shared" si="16"/>
        <v>21301.049545650003</v>
      </c>
      <c r="N82" s="101">
        <f t="shared" si="17"/>
        <v>12.909726997363638</v>
      </c>
      <c r="O82" s="101">
        <f t="shared" si="18"/>
        <v>21961.382081565152</v>
      </c>
      <c r="P82" s="101">
        <f t="shared" si="19"/>
        <v>22905.721511072454</v>
      </c>
      <c r="Q82" s="101">
        <f t="shared" si="20"/>
        <v>23592.893156404629</v>
      </c>
    </row>
    <row r="83" spans="2:17" ht="15" hidden="1" outlineLevel="1" thickTop="1" x14ac:dyDescent="0.3">
      <c r="B83" s="89" t="s">
        <v>47</v>
      </c>
      <c r="C83" s="90" t="s">
        <v>48</v>
      </c>
      <c r="D83" s="91">
        <v>19700</v>
      </c>
      <c r="E83" s="91">
        <v>20973.96</v>
      </c>
      <c r="F83" s="92">
        <f t="shared" si="9"/>
        <v>21183.6996</v>
      </c>
      <c r="G83" s="93">
        <f t="shared" si="10"/>
        <v>21183.6996</v>
      </c>
      <c r="H83" s="91">
        <f t="shared" si="11"/>
        <v>21501.455094000001</v>
      </c>
      <c r="I83" s="91">
        <f t="shared" si="12"/>
        <v>21931.484195880003</v>
      </c>
      <c r="J83" s="94">
        <f t="shared" si="13"/>
        <v>12.68485005988024</v>
      </c>
      <c r="K83" s="94">
        <f t="shared" si="14"/>
        <v>12.929317555021047</v>
      </c>
      <c r="L83" s="94">
        <f t="shared" si="15"/>
        <v>13.291808603563638</v>
      </c>
      <c r="M83" s="91">
        <f t="shared" si="16"/>
        <v>24453.604878406204</v>
      </c>
      <c r="N83" s="91">
        <f t="shared" si="17"/>
        <v>14.820366592973457</v>
      </c>
      <c r="O83" s="91">
        <f t="shared" si="18"/>
        <v>25211.666629636795</v>
      </c>
      <c r="P83" s="91">
        <f t="shared" si="19"/>
        <v>26295.768294711175</v>
      </c>
      <c r="Q83" s="91">
        <f t="shared" si="20"/>
        <v>27084.64134355251</v>
      </c>
    </row>
    <row r="84" spans="2:17" hidden="1" outlineLevel="1" x14ac:dyDescent="0.3">
      <c r="B84" s="32"/>
      <c r="C84" s="21" t="s">
        <v>49</v>
      </c>
      <c r="D84" s="95">
        <v>17450</v>
      </c>
      <c r="E84" s="95">
        <v>18270</v>
      </c>
      <c r="F84" s="96">
        <f t="shared" si="9"/>
        <v>18452.7</v>
      </c>
      <c r="G84" s="97">
        <f t="shared" si="10"/>
        <v>18452.7</v>
      </c>
      <c r="H84" s="95">
        <f t="shared" si="11"/>
        <v>18729.4905</v>
      </c>
      <c r="I84" s="95">
        <f t="shared" si="12"/>
        <v>19104.080310000001</v>
      </c>
      <c r="J84" s="98">
        <f t="shared" si="13"/>
        <v>11.049520958083832</v>
      </c>
      <c r="K84" s="98">
        <f t="shared" si="14"/>
        <v>11.26247173782321</v>
      </c>
      <c r="L84" s="98">
        <f t="shared" si="15"/>
        <v>11.578230490909093</v>
      </c>
      <c r="M84" s="95">
        <f t="shared" si="16"/>
        <v>21301.049545650003</v>
      </c>
      <c r="N84" s="95">
        <f t="shared" si="17"/>
        <v>12.909726997363638</v>
      </c>
      <c r="O84" s="95">
        <f t="shared" si="18"/>
        <v>21961.382081565152</v>
      </c>
      <c r="P84" s="95">
        <f t="shared" si="19"/>
        <v>22905.721511072454</v>
      </c>
      <c r="Q84" s="95">
        <f t="shared" si="20"/>
        <v>23592.893156404629</v>
      </c>
    </row>
    <row r="85" spans="2:17" hidden="1" outlineLevel="1" x14ac:dyDescent="0.3">
      <c r="B85" s="32"/>
      <c r="C85" s="21" t="s">
        <v>50</v>
      </c>
      <c r="D85" s="95">
        <v>17450</v>
      </c>
      <c r="E85" s="95">
        <v>18270</v>
      </c>
      <c r="F85" s="96">
        <f t="shared" si="9"/>
        <v>18452.7</v>
      </c>
      <c r="G85" s="97">
        <f t="shared" si="10"/>
        <v>18452.7</v>
      </c>
      <c r="H85" s="95">
        <f t="shared" si="11"/>
        <v>18729.4905</v>
      </c>
      <c r="I85" s="95">
        <f t="shared" si="12"/>
        <v>19104.080310000001</v>
      </c>
      <c r="J85" s="98">
        <f t="shared" si="13"/>
        <v>11.049520958083832</v>
      </c>
      <c r="K85" s="98">
        <f t="shared" si="14"/>
        <v>11.26247173782321</v>
      </c>
      <c r="L85" s="98">
        <f t="shared" si="15"/>
        <v>11.578230490909093</v>
      </c>
      <c r="M85" s="95">
        <f t="shared" si="16"/>
        <v>21301.049545650003</v>
      </c>
      <c r="N85" s="95">
        <f t="shared" si="17"/>
        <v>12.909726997363638</v>
      </c>
      <c r="O85" s="95">
        <f t="shared" si="18"/>
        <v>21961.382081565152</v>
      </c>
      <c r="P85" s="95">
        <f t="shared" si="19"/>
        <v>22905.721511072454</v>
      </c>
      <c r="Q85" s="95">
        <f t="shared" si="20"/>
        <v>23592.893156404629</v>
      </c>
    </row>
    <row r="86" spans="2:17" hidden="1" outlineLevel="1" x14ac:dyDescent="0.3">
      <c r="B86" s="32"/>
      <c r="C86" s="21" t="s">
        <v>51</v>
      </c>
      <c r="D86" s="95">
        <v>17450</v>
      </c>
      <c r="E86" s="95">
        <v>18270</v>
      </c>
      <c r="F86" s="96">
        <f t="shared" si="9"/>
        <v>18452.7</v>
      </c>
      <c r="G86" s="97">
        <f t="shared" si="10"/>
        <v>18452.7</v>
      </c>
      <c r="H86" s="95">
        <f t="shared" si="11"/>
        <v>18729.4905</v>
      </c>
      <c r="I86" s="95">
        <f t="shared" si="12"/>
        <v>19104.080310000001</v>
      </c>
      <c r="J86" s="98">
        <f t="shared" si="13"/>
        <v>11.049520958083832</v>
      </c>
      <c r="K86" s="98">
        <f t="shared" si="14"/>
        <v>11.26247173782321</v>
      </c>
      <c r="L86" s="98">
        <f t="shared" si="15"/>
        <v>11.578230490909093</v>
      </c>
      <c r="M86" s="95">
        <f t="shared" si="16"/>
        <v>21301.049545650003</v>
      </c>
      <c r="N86" s="95">
        <f t="shared" si="17"/>
        <v>12.909726997363638</v>
      </c>
      <c r="O86" s="95">
        <f t="shared" si="18"/>
        <v>21961.382081565152</v>
      </c>
      <c r="P86" s="95">
        <f t="shared" si="19"/>
        <v>22905.721511072454</v>
      </c>
      <c r="Q86" s="95">
        <f t="shared" si="20"/>
        <v>23592.893156404629</v>
      </c>
    </row>
    <row r="87" spans="2:17" hidden="1" outlineLevel="1" x14ac:dyDescent="0.3">
      <c r="B87" s="32"/>
      <c r="C87" s="21" t="s">
        <v>87</v>
      </c>
      <c r="D87" s="95"/>
      <c r="E87" s="95"/>
      <c r="F87" s="96">
        <f>+F83</f>
        <v>21183.6996</v>
      </c>
      <c r="G87" s="97">
        <f t="shared" si="10"/>
        <v>21183.6996</v>
      </c>
      <c r="H87" s="95">
        <f t="shared" si="11"/>
        <v>21501.455094000001</v>
      </c>
      <c r="I87" s="95">
        <f t="shared" si="12"/>
        <v>21931.484195880003</v>
      </c>
      <c r="J87" s="98">
        <f t="shared" si="13"/>
        <v>12.68485005988024</v>
      </c>
      <c r="K87" s="98">
        <f t="shared" si="14"/>
        <v>12.929317555021047</v>
      </c>
      <c r="L87" s="98">
        <f t="shared" si="15"/>
        <v>13.291808603563638</v>
      </c>
      <c r="M87" s="95">
        <f t="shared" si="16"/>
        <v>24453.604878406204</v>
      </c>
      <c r="N87" s="95">
        <f t="shared" si="17"/>
        <v>14.820366592973457</v>
      </c>
      <c r="O87" s="95">
        <f t="shared" si="18"/>
        <v>25211.666629636795</v>
      </c>
      <c r="P87" s="95">
        <f t="shared" si="19"/>
        <v>26295.768294711175</v>
      </c>
      <c r="Q87" s="95">
        <f t="shared" si="20"/>
        <v>27084.64134355251</v>
      </c>
    </row>
    <row r="88" spans="2:17" hidden="1" outlineLevel="1" x14ac:dyDescent="0.3">
      <c r="B88" s="32"/>
      <c r="C88" s="21" t="s">
        <v>52</v>
      </c>
      <c r="D88" s="95">
        <v>17450</v>
      </c>
      <c r="E88" s="95">
        <v>18270</v>
      </c>
      <c r="F88" s="96">
        <f t="shared" si="9"/>
        <v>18452.7</v>
      </c>
      <c r="G88" s="97">
        <f t="shared" si="10"/>
        <v>18452.7</v>
      </c>
      <c r="H88" s="95">
        <f t="shared" si="11"/>
        <v>18729.4905</v>
      </c>
      <c r="I88" s="95">
        <f t="shared" si="12"/>
        <v>19104.080310000001</v>
      </c>
      <c r="J88" s="98">
        <f t="shared" si="13"/>
        <v>11.049520958083832</v>
      </c>
      <c r="K88" s="98">
        <f t="shared" si="14"/>
        <v>11.26247173782321</v>
      </c>
      <c r="L88" s="98">
        <f t="shared" si="15"/>
        <v>11.578230490909093</v>
      </c>
      <c r="M88" s="95">
        <f t="shared" si="16"/>
        <v>21301.049545650003</v>
      </c>
      <c r="N88" s="95">
        <f t="shared" si="17"/>
        <v>12.909726997363638</v>
      </c>
      <c r="O88" s="95">
        <f t="shared" si="18"/>
        <v>21961.382081565152</v>
      </c>
      <c r="P88" s="95">
        <f t="shared" si="19"/>
        <v>22905.721511072454</v>
      </c>
      <c r="Q88" s="95">
        <f t="shared" si="20"/>
        <v>23592.893156404629</v>
      </c>
    </row>
    <row r="89" spans="2:17" hidden="1" outlineLevel="1" x14ac:dyDescent="0.3">
      <c r="B89" s="33"/>
      <c r="C89" s="21" t="s">
        <v>53</v>
      </c>
      <c r="D89" s="95">
        <v>17450</v>
      </c>
      <c r="E89" s="95">
        <v>18270</v>
      </c>
      <c r="F89" s="96">
        <f t="shared" si="9"/>
        <v>18452.7</v>
      </c>
      <c r="G89" s="97">
        <f t="shared" si="10"/>
        <v>18452.7</v>
      </c>
      <c r="H89" s="95">
        <f t="shared" si="11"/>
        <v>18729.4905</v>
      </c>
      <c r="I89" s="95">
        <f t="shared" si="12"/>
        <v>19104.080310000001</v>
      </c>
      <c r="J89" s="98">
        <f t="shared" si="13"/>
        <v>11.049520958083832</v>
      </c>
      <c r="K89" s="98">
        <f t="shared" si="14"/>
        <v>11.26247173782321</v>
      </c>
      <c r="L89" s="98">
        <f t="shared" si="15"/>
        <v>11.578230490909093</v>
      </c>
      <c r="M89" s="95">
        <f t="shared" si="16"/>
        <v>21301.049545650003</v>
      </c>
      <c r="N89" s="95">
        <f t="shared" si="17"/>
        <v>12.909726997363638</v>
      </c>
      <c r="O89" s="95">
        <f t="shared" si="18"/>
        <v>21961.382081565152</v>
      </c>
      <c r="P89" s="95">
        <f t="shared" si="19"/>
        <v>22905.721511072454</v>
      </c>
      <c r="Q89" s="95">
        <f t="shared" si="20"/>
        <v>23592.893156404629</v>
      </c>
    </row>
    <row r="90" spans="2:17" hidden="1" outlineLevel="1" x14ac:dyDescent="0.3"/>
    <row r="91" spans="2:17" hidden="1" outlineLevel="1" x14ac:dyDescent="0.3">
      <c r="B91" s="1" t="s">
        <v>88</v>
      </c>
      <c r="C91" s="1" t="s">
        <v>89</v>
      </c>
      <c r="D91" s="1"/>
    </row>
    <row r="92" spans="2:17" hidden="1" outlineLevel="1" x14ac:dyDescent="0.3">
      <c r="C92" s="1" t="s">
        <v>90</v>
      </c>
      <c r="D92" s="1"/>
    </row>
    <row r="93" spans="2:17" hidden="1" outlineLevel="1" x14ac:dyDescent="0.3">
      <c r="B93" s="1" t="s">
        <v>91</v>
      </c>
      <c r="D93" s="1"/>
      <c r="E93" s="107">
        <v>2019</v>
      </c>
      <c r="F93" s="107">
        <v>2022</v>
      </c>
      <c r="G93" s="107">
        <v>2023</v>
      </c>
      <c r="O93" s="107">
        <v>2024</v>
      </c>
      <c r="P93" s="107">
        <v>2025</v>
      </c>
      <c r="Q93" s="107">
        <v>2026</v>
      </c>
    </row>
    <row r="94" spans="2:17" hidden="1" outlineLevel="1" x14ac:dyDescent="0.3">
      <c r="B94" s="1" t="s">
        <v>92</v>
      </c>
      <c r="C94" s="1" t="s">
        <v>93</v>
      </c>
      <c r="D94" s="108" t="s">
        <v>94</v>
      </c>
      <c r="E94" s="109">
        <v>20.3</v>
      </c>
      <c r="F94" s="109">
        <f>+E94*(1+$H$58)*(1+$I$58)</f>
        <v>21.016589999999997</v>
      </c>
      <c r="G94" s="109">
        <f>+F94*(1+$M$58)</f>
        <v>23.433497849999998</v>
      </c>
      <c r="M94" s="71" t="s">
        <v>93</v>
      </c>
      <c r="N94" s="108" t="s">
        <v>94</v>
      </c>
      <c r="O94" s="109">
        <v>24</v>
      </c>
      <c r="P94" s="109">
        <f>O94*(1+$P$58)</f>
        <v>25.031999999999996</v>
      </c>
      <c r="Q94" s="109">
        <f>P94*(1+$Q$58)</f>
        <v>25.782959999999996</v>
      </c>
    </row>
    <row r="95" spans="2:17" hidden="1" outlineLevel="1" x14ac:dyDescent="0.3">
      <c r="C95" s="1" t="s">
        <v>95</v>
      </c>
      <c r="D95" s="108"/>
      <c r="E95" s="109"/>
      <c r="F95" s="109"/>
      <c r="G95" s="110">
        <f>+G94*14</f>
        <v>328.06896989999996</v>
      </c>
      <c r="O95" s="111">
        <f>+O94*14</f>
        <v>336</v>
      </c>
      <c r="P95" s="111">
        <f t="shared" ref="P95:Q95" si="21">+P94*14</f>
        <v>350.44799999999998</v>
      </c>
      <c r="Q95" s="111">
        <f t="shared" si="21"/>
        <v>360.96143999999993</v>
      </c>
    </row>
    <row r="96" spans="2:17" hidden="1" outlineLevel="1" x14ac:dyDescent="0.3">
      <c r="B96" s="1" t="s">
        <v>96</v>
      </c>
      <c r="D96" s="1"/>
      <c r="E96" s="112"/>
      <c r="O96" s="65"/>
    </row>
    <row r="97" spans="2:20" hidden="1" outlineLevel="1" x14ac:dyDescent="0.3">
      <c r="B97" s="1" t="s">
        <v>97</v>
      </c>
      <c r="C97" s="1" t="s">
        <v>98</v>
      </c>
      <c r="D97" s="1"/>
      <c r="O97" s="65"/>
    </row>
    <row r="98" spans="2:20" hidden="1" outlineLevel="1" x14ac:dyDescent="0.3">
      <c r="B98" s="1" t="s">
        <v>99</v>
      </c>
      <c r="C98" s="1" t="s">
        <v>100</v>
      </c>
      <c r="D98" s="113">
        <v>1.25</v>
      </c>
    </row>
    <row r="99" spans="2:20" hidden="1" outlineLevel="1" x14ac:dyDescent="0.3">
      <c r="B99" s="1" t="s">
        <v>101</v>
      </c>
      <c r="C99" s="1" t="s">
        <v>102</v>
      </c>
      <c r="D99" s="113">
        <v>0.5</v>
      </c>
      <c r="E99" s="107">
        <v>2019</v>
      </c>
      <c r="F99" s="107">
        <v>2022</v>
      </c>
      <c r="G99" s="107">
        <v>2023</v>
      </c>
      <c r="O99" s="107">
        <v>2024</v>
      </c>
      <c r="P99" s="107">
        <v>2025</v>
      </c>
      <c r="Q99" s="107">
        <v>2026</v>
      </c>
    </row>
    <row r="100" spans="2:20" hidden="1" outlineLevel="1" x14ac:dyDescent="0.3">
      <c r="B100" s="1" t="s">
        <v>103</v>
      </c>
      <c r="C100" s="1" t="s">
        <v>104</v>
      </c>
      <c r="D100" s="1" t="s">
        <v>105</v>
      </c>
      <c r="E100" s="109">
        <v>3.5</v>
      </c>
      <c r="F100" s="109">
        <f>+E100*(1+$H$58)*(1+$I$58)</f>
        <v>3.6235499999999998</v>
      </c>
      <c r="G100" s="109">
        <f>+F100*(1+$M$58)</f>
        <v>4.0402582499999999</v>
      </c>
      <c r="M100" s="71" t="s">
        <v>106</v>
      </c>
      <c r="N100" s="1" t="s">
        <v>105</v>
      </c>
      <c r="O100" s="109">
        <v>4.1500000000000004</v>
      </c>
      <c r="P100" s="109">
        <f>O100*(1+$P$58)</f>
        <v>4.3284500000000001</v>
      </c>
      <c r="Q100" s="109">
        <f>P100*(1+$Q$58)</f>
        <v>4.4583035000000004</v>
      </c>
    </row>
    <row r="101" spans="2:20" hidden="1" outlineLevel="1" x14ac:dyDescent="0.3">
      <c r="B101" s="1" t="s">
        <v>107</v>
      </c>
      <c r="C101" s="1" t="s">
        <v>108</v>
      </c>
      <c r="D101" s="1" t="s">
        <v>105</v>
      </c>
      <c r="E101" s="112">
        <v>4</v>
      </c>
      <c r="F101" s="109">
        <f>+E101*(1+$H$58)*(1+$I$58)</f>
        <v>4.1411999999999995</v>
      </c>
      <c r="M101" s="71" t="s">
        <v>109</v>
      </c>
      <c r="O101" s="109">
        <v>4.75</v>
      </c>
      <c r="P101" s="109">
        <f>O101*(1+$P$58)</f>
        <v>4.95425</v>
      </c>
      <c r="Q101" s="109">
        <f>P101*(1+$Q$58)</f>
        <v>5.1028775</v>
      </c>
    </row>
    <row r="102" spans="2:20" hidden="1" outlineLevel="1" x14ac:dyDescent="0.3">
      <c r="B102" s="1" t="s">
        <v>110</v>
      </c>
      <c r="D102" s="2" t="s">
        <v>111</v>
      </c>
      <c r="E102" s="112">
        <v>100</v>
      </c>
    </row>
    <row r="103" spans="2:20" hidden="1" outlineLevel="1" x14ac:dyDescent="0.3">
      <c r="B103" s="67" t="s">
        <v>112</v>
      </c>
      <c r="D103" s="1"/>
    </row>
    <row r="104" spans="2:20" hidden="1" outlineLevel="1" x14ac:dyDescent="0.3">
      <c r="B104" s="1" t="s">
        <v>113</v>
      </c>
      <c r="D104" s="1"/>
    </row>
    <row r="105" spans="2:20" hidden="1" outlineLevel="1" x14ac:dyDescent="0.3">
      <c r="B105" s="1" t="s">
        <v>114</v>
      </c>
      <c r="D105" s="1"/>
    </row>
    <row r="106" spans="2:20" hidden="1" outlineLevel="1" x14ac:dyDescent="0.3">
      <c r="B106" s="1" t="s">
        <v>115</v>
      </c>
      <c r="D106" s="1"/>
    </row>
    <row r="107" spans="2:20" hidden="1" outlineLevel="1" x14ac:dyDescent="0.3">
      <c r="D107" s="1"/>
      <c r="P107" s="114"/>
      <c r="Q107" s="115"/>
      <c r="S107" s="114"/>
      <c r="T107" s="115"/>
    </row>
    <row r="108" spans="2:20" collapsed="1" x14ac:dyDescent="0.3">
      <c r="D108" s="1"/>
      <c r="P108" s="114"/>
      <c r="Q108" s="115"/>
      <c r="S108" s="114"/>
      <c r="T108" s="115"/>
    </row>
    <row r="109" spans="2:20" ht="20.100000000000001" customHeight="1" x14ac:dyDescent="0.3">
      <c r="B109" s="7" t="s">
        <v>116</v>
      </c>
      <c r="C109" s="8"/>
      <c r="D109" s="9"/>
      <c r="E109" s="9"/>
      <c r="F109" s="9"/>
      <c r="G109" s="8"/>
      <c r="H109" s="8"/>
      <c r="I109" s="8"/>
      <c r="J109" s="8"/>
      <c r="K109" s="8"/>
      <c r="L109" s="8"/>
    </row>
    <row r="110" spans="2:20" hidden="1" outlineLevel="1" x14ac:dyDescent="0.3"/>
    <row r="111" spans="2:20" hidden="1" outlineLevel="1" x14ac:dyDescent="0.3">
      <c r="H111" s="1" t="s">
        <v>117</v>
      </c>
      <c r="I111" s="116">
        <f>+I127/H127-1</f>
        <v>3.299418604651172E-2</v>
      </c>
      <c r="J111" s="116">
        <f t="shared" ref="J111:K111" si="22">+J128/I128-1</f>
        <v>3.3002915451894932E-2</v>
      </c>
      <c r="K111" s="116">
        <f t="shared" si="22"/>
        <v>3.6649061032863806E-2</v>
      </c>
    </row>
    <row r="112" spans="2:20" ht="17.100000000000001" hidden="1" customHeight="1" outlineLevel="1" x14ac:dyDescent="0.3">
      <c r="D112"/>
      <c r="E112" s="117">
        <v>0.03</v>
      </c>
      <c r="F112" s="117">
        <v>0.03</v>
      </c>
      <c r="G112" s="117">
        <v>0.03</v>
      </c>
      <c r="H112" s="118">
        <v>1725</v>
      </c>
      <c r="I112" s="118">
        <v>1720</v>
      </c>
      <c r="J112" s="118">
        <v>1715</v>
      </c>
      <c r="K112" s="118">
        <v>1704</v>
      </c>
    </row>
    <row r="113" spans="2:15" ht="17.100000000000001" hidden="1" customHeight="1" outlineLevel="1" x14ac:dyDescent="0.3">
      <c r="D113" s="119">
        <v>2023</v>
      </c>
      <c r="E113" s="120">
        <v>2024</v>
      </c>
      <c r="F113" s="119">
        <v>2025</v>
      </c>
      <c r="G113" s="119">
        <v>2026</v>
      </c>
      <c r="H113" s="119" t="s">
        <v>118</v>
      </c>
      <c r="I113" s="120" t="s">
        <v>119</v>
      </c>
      <c r="J113" s="119" t="s">
        <v>120</v>
      </c>
      <c r="K113" s="119" t="s">
        <v>121</v>
      </c>
      <c r="M113" s="121" t="s">
        <v>122</v>
      </c>
    </row>
    <row r="114" spans="2:15" ht="17.100000000000001" hidden="1" customHeight="1" outlineLevel="1" x14ac:dyDescent="0.3">
      <c r="C114" s="22" t="s">
        <v>123</v>
      </c>
      <c r="D114" s="24">
        <v>28584.03</v>
      </c>
      <c r="E114" s="24">
        <v>29441.550899999998</v>
      </c>
      <c r="F114" s="24">
        <v>30324.797426999998</v>
      </c>
      <c r="G114" s="24">
        <v>31234.541349809999</v>
      </c>
      <c r="H114" s="24">
        <f>+D114/H$112</f>
        <v>16.570452173913043</v>
      </c>
      <c r="I114" s="24">
        <f t="shared" ref="I114:K129" si="23">+E114/I$112</f>
        <v>17.117180755813951</v>
      </c>
      <c r="J114" s="24">
        <f t="shared" si="23"/>
        <v>17.682097625072885</v>
      </c>
      <c r="K114" s="24">
        <f t="shared" si="23"/>
        <v>18.330129900123239</v>
      </c>
      <c r="M114" s="24">
        <f>+G114+(25*14)</f>
        <v>31584.541349809999</v>
      </c>
      <c r="N114" s="24">
        <f>+M114/$K$112</f>
        <v>18.535528961156103</v>
      </c>
      <c r="O114" s="116">
        <f>+N114/J114-1</f>
        <v>4.8265276788940881E-2</v>
      </c>
    </row>
    <row r="115" spans="2:15" ht="17.100000000000001" hidden="1" customHeight="1" outlineLevel="1" x14ac:dyDescent="0.3">
      <c r="C115" s="22" t="s">
        <v>24</v>
      </c>
      <c r="D115" s="24">
        <v>25221.200000000001</v>
      </c>
      <c r="E115" s="24">
        <v>25977.835999999999</v>
      </c>
      <c r="F115" s="24">
        <v>26757.17108</v>
      </c>
      <c r="G115" s="24">
        <v>27559.886212400001</v>
      </c>
      <c r="H115" s="24">
        <f t="shared" ref="H115:K144" si="24">+D115/H$112</f>
        <v>14.620985507246377</v>
      </c>
      <c r="I115" s="24">
        <f t="shared" si="23"/>
        <v>15.103393023255814</v>
      </c>
      <c r="J115" s="24">
        <f t="shared" si="23"/>
        <v>15.601849026239067</v>
      </c>
      <c r="K115" s="24">
        <f t="shared" si="23"/>
        <v>16.17364214342723</v>
      </c>
      <c r="M115" s="24">
        <f t="shared" ref="M115:M145" si="25">+G115+(25*14)</f>
        <v>27909.886212400001</v>
      </c>
      <c r="N115" s="24">
        <f t="shared" ref="N115:N145" si="26">+M115/$K$112</f>
        <v>16.379041204460094</v>
      </c>
      <c r="O115" s="116">
        <f t="shared" ref="O115:O144" si="27">+N115/J115-1</f>
        <v>4.9814107091662674E-2</v>
      </c>
    </row>
    <row r="116" spans="2:15" ht="17.100000000000001" hidden="1" customHeight="1" outlineLevel="1" x14ac:dyDescent="0.3">
      <c r="C116" s="22" t="s">
        <v>124</v>
      </c>
      <c r="D116" s="24">
        <v>25221.200000000001</v>
      </c>
      <c r="E116" s="24">
        <v>25977.835999999999</v>
      </c>
      <c r="F116" s="24">
        <v>26757.17108</v>
      </c>
      <c r="G116" s="24">
        <v>27559.886212400001</v>
      </c>
      <c r="H116" s="24">
        <f t="shared" si="24"/>
        <v>14.620985507246377</v>
      </c>
      <c r="I116" s="24">
        <f t="shared" si="23"/>
        <v>15.103393023255814</v>
      </c>
      <c r="J116" s="24">
        <f t="shared" si="23"/>
        <v>15.601849026239067</v>
      </c>
      <c r="K116" s="24">
        <f t="shared" si="23"/>
        <v>16.17364214342723</v>
      </c>
      <c r="M116" s="24">
        <f t="shared" si="25"/>
        <v>27909.886212400001</v>
      </c>
      <c r="N116" s="24">
        <f t="shared" si="26"/>
        <v>16.379041204460094</v>
      </c>
      <c r="O116" s="116">
        <f t="shared" si="27"/>
        <v>4.9814107091662674E-2</v>
      </c>
    </row>
    <row r="117" spans="2:15" ht="17.100000000000001" hidden="1" customHeight="1" outlineLevel="1" x14ac:dyDescent="0.3">
      <c r="C117" s="22" t="s">
        <v>125</v>
      </c>
      <c r="D117" s="24">
        <v>23960.15</v>
      </c>
      <c r="E117" s="24">
        <v>24678.9545</v>
      </c>
      <c r="F117" s="24">
        <v>25419.323134999999</v>
      </c>
      <c r="G117" s="24">
        <v>26181.902829049999</v>
      </c>
      <c r="H117" s="24">
        <f t="shared" si="24"/>
        <v>13.889942028985509</v>
      </c>
      <c r="I117" s="24">
        <f t="shared" si="23"/>
        <v>14.348229360465115</v>
      </c>
      <c r="J117" s="24">
        <f t="shared" si="23"/>
        <v>14.821762760932943</v>
      </c>
      <c r="K117" s="24">
        <f t="shared" si="23"/>
        <v>15.364966448973004</v>
      </c>
      <c r="M117" s="24">
        <f t="shared" si="25"/>
        <v>26531.902829049999</v>
      </c>
      <c r="N117" s="24">
        <f t="shared" si="26"/>
        <v>15.570365510005868</v>
      </c>
      <c r="O117" s="116">
        <f t="shared" si="27"/>
        <v>5.0506998468905717E-2</v>
      </c>
    </row>
    <row r="118" spans="2:15" ht="17.100000000000001" hidden="1" customHeight="1" outlineLevel="1" x14ac:dyDescent="0.3">
      <c r="C118" s="22" t="s">
        <v>27</v>
      </c>
      <c r="D118" s="24">
        <v>23960.15</v>
      </c>
      <c r="E118" s="24">
        <v>24678.9545</v>
      </c>
      <c r="F118" s="24">
        <v>25419.323134999999</v>
      </c>
      <c r="G118" s="24">
        <v>26181.902829049999</v>
      </c>
      <c r="H118" s="24">
        <f t="shared" si="24"/>
        <v>13.889942028985509</v>
      </c>
      <c r="I118" s="24">
        <f t="shared" si="23"/>
        <v>14.348229360465115</v>
      </c>
      <c r="J118" s="24">
        <f t="shared" si="23"/>
        <v>14.821762760932943</v>
      </c>
      <c r="K118" s="24">
        <f t="shared" si="23"/>
        <v>15.364966448973004</v>
      </c>
      <c r="M118" s="24">
        <f t="shared" si="25"/>
        <v>26531.902829049999</v>
      </c>
      <c r="N118" s="24">
        <f t="shared" si="26"/>
        <v>15.570365510005868</v>
      </c>
      <c r="O118" s="116">
        <f t="shared" si="27"/>
        <v>5.0506998468905717E-2</v>
      </c>
    </row>
    <row r="119" spans="2:15" ht="17.100000000000001" hidden="1" customHeight="1" outlineLevel="1" x14ac:dyDescent="0.3">
      <c r="C119" s="22" t="s">
        <v>126</v>
      </c>
      <c r="D119" s="24">
        <v>23960.15</v>
      </c>
      <c r="E119" s="24">
        <v>24678.9545</v>
      </c>
      <c r="F119" s="24">
        <v>25419.323134999999</v>
      </c>
      <c r="G119" s="24">
        <v>26181.902829049999</v>
      </c>
      <c r="H119" s="24">
        <f t="shared" si="24"/>
        <v>13.889942028985509</v>
      </c>
      <c r="I119" s="24">
        <f t="shared" si="23"/>
        <v>14.348229360465115</v>
      </c>
      <c r="J119" s="24">
        <f t="shared" si="23"/>
        <v>14.821762760932943</v>
      </c>
      <c r="K119" s="24">
        <f t="shared" si="23"/>
        <v>15.364966448973004</v>
      </c>
      <c r="M119" s="24">
        <f t="shared" si="25"/>
        <v>26531.902829049999</v>
      </c>
      <c r="N119" s="24">
        <f t="shared" si="26"/>
        <v>15.570365510005868</v>
      </c>
      <c r="O119" s="116">
        <f t="shared" si="27"/>
        <v>5.0506998468905717E-2</v>
      </c>
    </row>
    <row r="120" spans="2:15" ht="17.100000000000001" hidden="1" customHeight="1" outlineLevel="1" x14ac:dyDescent="0.3">
      <c r="C120" s="22" t="s">
        <v>127</v>
      </c>
      <c r="D120" s="24">
        <v>22699.09</v>
      </c>
      <c r="E120" s="24">
        <v>23380.062699999999</v>
      </c>
      <c r="F120" s="24">
        <v>24081.464581</v>
      </c>
      <c r="G120" s="24">
        <v>24803.908518429998</v>
      </c>
      <c r="H120" s="24">
        <f t="shared" si="24"/>
        <v>13.158892753623189</v>
      </c>
      <c r="I120" s="24">
        <f t="shared" si="23"/>
        <v>13.593059709302326</v>
      </c>
      <c r="J120" s="24">
        <f t="shared" si="23"/>
        <v>14.041670309620992</v>
      </c>
      <c r="K120" s="24">
        <f t="shared" si="23"/>
        <v>14.556284341801643</v>
      </c>
      <c r="M120" s="24">
        <f t="shared" si="25"/>
        <v>25153.908518429998</v>
      </c>
      <c r="N120" s="24">
        <f t="shared" si="26"/>
        <v>14.761683402834507</v>
      </c>
      <c r="O120" s="116">
        <f t="shared" si="27"/>
        <v>5.1276883542848983E-2</v>
      </c>
    </row>
    <row r="121" spans="2:15" ht="17.100000000000001" hidden="1" customHeight="1" outlineLevel="1" x14ac:dyDescent="0.3">
      <c r="C121" s="22" t="s">
        <v>128</v>
      </c>
      <c r="D121" s="24">
        <v>22699.09</v>
      </c>
      <c r="E121" s="24">
        <v>23380.062699999999</v>
      </c>
      <c r="F121" s="24">
        <v>24081.464581</v>
      </c>
      <c r="G121" s="24">
        <v>24803.908518429998</v>
      </c>
      <c r="H121" s="24">
        <f t="shared" si="24"/>
        <v>13.158892753623189</v>
      </c>
      <c r="I121" s="24">
        <f t="shared" si="23"/>
        <v>13.593059709302326</v>
      </c>
      <c r="J121" s="24">
        <f t="shared" si="23"/>
        <v>14.041670309620992</v>
      </c>
      <c r="K121" s="24">
        <f t="shared" si="23"/>
        <v>14.556284341801643</v>
      </c>
      <c r="M121" s="24">
        <f t="shared" si="25"/>
        <v>25153.908518429998</v>
      </c>
      <c r="N121" s="24">
        <f t="shared" si="26"/>
        <v>14.761683402834507</v>
      </c>
      <c r="O121" s="116">
        <f t="shared" si="27"/>
        <v>5.1276883542848983E-2</v>
      </c>
    </row>
    <row r="122" spans="2:15" ht="17.100000000000001" hidden="1" customHeight="1" outlineLevel="1" x14ac:dyDescent="0.3">
      <c r="C122" s="22" t="s">
        <v>129</v>
      </c>
      <c r="D122" s="24">
        <v>22699.09</v>
      </c>
      <c r="E122" s="24">
        <v>23380.062699999999</v>
      </c>
      <c r="F122" s="24">
        <v>24081.464581</v>
      </c>
      <c r="G122" s="24">
        <v>24803.908518429998</v>
      </c>
      <c r="H122" s="24">
        <f t="shared" si="24"/>
        <v>13.158892753623189</v>
      </c>
      <c r="I122" s="24">
        <f t="shared" si="23"/>
        <v>13.593059709302326</v>
      </c>
      <c r="J122" s="24">
        <f t="shared" si="23"/>
        <v>14.041670309620992</v>
      </c>
      <c r="K122" s="24">
        <f t="shared" si="23"/>
        <v>14.556284341801643</v>
      </c>
      <c r="M122" s="24">
        <f t="shared" si="25"/>
        <v>25153.908518429998</v>
      </c>
      <c r="N122" s="24">
        <f t="shared" si="26"/>
        <v>14.761683402834507</v>
      </c>
      <c r="O122" s="116">
        <f t="shared" si="27"/>
        <v>5.1276883542848983E-2</v>
      </c>
    </row>
    <row r="123" spans="2:15" ht="17.100000000000001" hidden="1" customHeight="1" outlineLevel="1" x14ac:dyDescent="0.3">
      <c r="C123" s="22" t="s">
        <v>130</v>
      </c>
      <c r="D123" s="24">
        <v>22699.09</v>
      </c>
      <c r="E123" s="24">
        <v>23380.062699999999</v>
      </c>
      <c r="F123" s="24">
        <v>24081.464581</v>
      </c>
      <c r="G123" s="24">
        <v>24803.908518429998</v>
      </c>
      <c r="H123" s="24">
        <f t="shared" si="24"/>
        <v>13.158892753623189</v>
      </c>
      <c r="I123" s="24">
        <f t="shared" si="23"/>
        <v>13.593059709302326</v>
      </c>
      <c r="J123" s="24">
        <f t="shared" si="23"/>
        <v>14.041670309620992</v>
      </c>
      <c r="K123" s="24">
        <f t="shared" si="23"/>
        <v>14.556284341801643</v>
      </c>
      <c r="M123" s="24">
        <f t="shared" si="25"/>
        <v>25153.908518429998</v>
      </c>
      <c r="N123" s="24">
        <f t="shared" si="26"/>
        <v>14.761683402834507</v>
      </c>
      <c r="O123" s="116">
        <f t="shared" si="27"/>
        <v>5.1276883542848983E-2</v>
      </c>
    </row>
    <row r="124" spans="2:15" ht="17.100000000000001" hidden="1" customHeight="1" outlineLevel="1" x14ac:dyDescent="0.3">
      <c r="B124" s="29"/>
      <c r="C124" s="22" t="s">
        <v>131</v>
      </c>
      <c r="D124" s="24">
        <v>22699.09</v>
      </c>
      <c r="E124" s="24">
        <v>23380.062699999999</v>
      </c>
      <c r="F124" s="24">
        <v>24081.464581</v>
      </c>
      <c r="G124" s="24">
        <v>24803.908518429998</v>
      </c>
      <c r="H124" s="24">
        <f t="shared" si="24"/>
        <v>13.158892753623189</v>
      </c>
      <c r="I124" s="24">
        <f t="shared" si="23"/>
        <v>13.593059709302326</v>
      </c>
      <c r="J124" s="24">
        <f t="shared" si="23"/>
        <v>14.041670309620992</v>
      </c>
      <c r="K124" s="24">
        <f t="shared" si="23"/>
        <v>14.556284341801643</v>
      </c>
      <c r="M124" s="24">
        <f t="shared" si="25"/>
        <v>25153.908518429998</v>
      </c>
      <c r="N124" s="24">
        <f t="shared" si="26"/>
        <v>14.761683402834507</v>
      </c>
      <c r="O124" s="116">
        <f t="shared" si="27"/>
        <v>5.1276883542848983E-2</v>
      </c>
    </row>
    <row r="125" spans="2:15" ht="17.100000000000001" hidden="1" customHeight="1" outlineLevel="1" x14ac:dyDescent="0.3">
      <c r="C125" s="22" t="s">
        <v>32</v>
      </c>
      <c r="D125" s="24">
        <v>22699.09</v>
      </c>
      <c r="E125" s="24">
        <v>23380.062699999999</v>
      </c>
      <c r="F125" s="24">
        <v>24081.464581</v>
      </c>
      <c r="G125" s="24">
        <v>24803.908518429998</v>
      </c>
      <c r="H125" s="24">
        <f t="shared" si="24"/>
        <v>13.158892753623189</v>
      </c>
      <c r="I125" s="24">
        <f t="shared" si="23"/>
        <v>13.593059709302326</v>
      </c>
      <c r="J125" s="24">
        <f t="shared" si="23"/>
        <v>14.041670309620992</v>
      </c>
      <c r="K125" s="24">
        <f t="shared" si="23"/>
        <v>14.556284341801643</v>
      </c>
      <c r="M125" s="24">
        <f t="shared" si="25"/>
        <v>25153.908518429998</v>
      </c>
      <c r="N125" s="24">
        <f t="shared" si="26"/>
        <v>14.761683402834507</v>
      </c>
      <c r="O125" s="116">
        <f t="shared" si="27"/>
        <v>5.1276883542848983E-2</v>
      </c>
    </row>
    <row r="126" spans="2:15" ht="17.100000000000001" hidden="1" customHeight="1" outlineLevel="1" x14ac:dyDescent="0.3">
      <c r="C126" s="22" t="s">
        <v>33</v>
      </c>
      <c r="D126" s="24">
        <v>21456.560000000001</v>
      </c>
      <c r="E126" s="24">
        <v>22100.256800000003</v>
      </c>
      <c r="F126" s="24">
        <v>22763.264504000002</v>
      </c>
      <c r="G126" s="24">
        <v>23446.162439120002</v>
      </c>
      <c r="H126" s="24">
        <f t="shared" si="24"/>
        <v>12.438585507246378</v>
      </c>
      <c r="I126" s="24">
        <f t="shared" si="23"/>
        <v>12.848986511627908</v>
      </c>
      <c r="J126" s="24">
        <f t="shared" si="23"/>
        <v>13.273040527113704</v>
      </c>
      <c r="K126" s="24">
        <f t="shared" si="23"/>
        <v>13.75948499948357</v>
      </c>
      <c r="M126" s="24">
        <f t="shared" si="25"/>
        <v>23796.162439120002</v>
      </c>
      <c r="N126" s="24">
        <f t="shared" si="26"/>
        <v>13.964884060516432</v>
      </c>
      <c r="O126" s="116">
        <f t="shared" si="27"/>
        <v>5.212396752571169E-2</v>
      </c>
    </row>
    <row r="127" spans="2:15" ht="17.100000000000001" hidden="1" customHeight="1" outlineLevel="1" x14ac:dyDescent="0.3">
      <c r="C127" s="22" t="s">
        <v>34</v>
      </c>
      <c r="D127" s="24">
        <v>21456.560000000001</v>
      </c>
      <c r="E127" s="24">
        <v>22100.256800000003</v>
      </c>
      <c r="F127" s="24">
        <v>22763.264504000002</v>
      </c>
      <c r="G127" s="24">
        <v>23446.162439120002</v>
      </c>
      <c r="H127" s="24">
        <f t="shared" si="24"/>
        <v>12.438585507246378</v>
      </c>
      <c r="I127" s="24">
        <f t="shared" si="23"/>
        <v>12.848986511627908</v>
      </c>
      <c r="J127" s="24">
        <f t="shared" si="23"/>
        <v>13.273040527113704</v>
      </c>
      <c r="K127" s="24">
        <f t="shared" si="23"/>
        <v>13.75948499948357</v>
      </c>
      <c r="M127" s="24">
        <f t="shared" si="25"/>
        <v>23796.162439120002</v>
      </c>
      <c r="N127" s="24">
        <f t="shared" si="26"/>
        <v>13.964884060516432</v>
      </c>
      <c r="O127" s="116">
        <f t="shared" si="27"/>
        <v>5.212396752571169E-2</v>
      </c>
    </row>
    <row r="128" spans="2:15" ht="17.100000000000001" hidden="1" customHeight="1" outlineLevel="1" x14ac:dyDescent="0.3">
      <c r="C128" s="22" t="s">
        <v>35</v>
      </c>
      <c r="D128" s="24">
        <v>20681.39</v>
      </c>
      <c r="E128" s="24">
        <v>21301.831699999999</v>
      </c>
      <c r="F128" s="24">
        <v>21940.886650999997</v>
      </c>
      <c r="G128" s="24">
        <v>22599.113250529997</v>
      </c>
      <c r="H128" s="24">
        <f t="shared" si="24"/>
        <v>11.989211594202898</v>
      </c>
      <c r="I128" s="24">
        <f t="shared" si="23"/>
        <v>12.384785872093023</v>
      </c>
      <c r="J128" s="24">
        <f t="shared" si="23"/>
        <v>12.793519913119532</v>
      </c>
      <c r="K128" s="24">
        <f t="shared" si="23"/>
        <v>13.262390405240609</v>
      </c>
      <c r="M128" s="24">
        <f t="shared" si="25"/>
        <v>22949.113250529997</v>
      </c>
      <c r="N128" s="24">
        <f t="shared" si="26"/>
        <v>13.467789466273473</v>
      </c>
      <c r="O128" s="116">
        <f t="shared" si="27"/>
        <v>5.2703990593119698E-2</v>
      </c>
    </row>
    <row r="129" spans="3:15" ht="17.100000000000001" hidden="1" customHeight="1" outlineLevel="1" x14ac:dyDescent="0.3">
      <c r="C129" s="22" t="s">
        <v>132</v>
      </c>
      <c r="D129" s="24">
        <v>21456.560000000001</v>
      </c>
      <c r="E129" s="24">
        <v>22100.256800000003</v>
      </c>
      <c r="F129" s="24">
        <v>22763.264504000002</v>
      </c>
      <c r="G129" s="24">
        <v>23446.162439120002</v>
      </c>
      <c r="H129" s="24">
        <f t="shared" si="24"/>
        <v>12.438585507246378</v>
      </c>
      <c r="I129" s="24">
        <f t="shared" si="23"/>
        <v>12.848986511627908</v>
      </c>
      <c r="J129" s="24">
        <f t="shared" si="23"/>
        <v>13.273040527113704</v>
      </c>
      <c r="K129" s="24">
        <f t="shared" si="23"/>
        <v>13.75948499948357</v>
      </c>
      <c r="M129" s="24">
        <f t="shared" si="25"/>
        <v>23796.162439120002</v>
      </c>
      <c r="N129" s="24">
        <f t="shared" si="26"/>
        <v>13.964884060516432</v>
      </c>
      <c r="O129" s="116">
        <f t="shared" si="27"/>
        <v>5.212396752571169E-2</v>
      </c>
    </row>
    <row r="130" spans="3:15" ht="17.100000000000001" hidden="1" customHeight="1" outlineLevel="1" x14ac:dyDescent="0.3">
      <c r="C130" s="22" t="s">
        <v>37</v>
      </c>
      <c r="D130" s="24">
        <v>20121.139738945814</v>
      </c>
      <c r="E130" s="24">
        <v>20724.773931114189</v>
      </c>
      <c r="F130" s="24">
        <v>21346.517149047613</v>
      </c>
      <c r="G130" s="24">
        <v>21986.912663519041</v>
      </c>
      <c r="H130" s="24">
        <f t="shared" si="24"/>
        <v>11.664428834171487</v>
      </c>
      <c r="I130" s="24">
        <f t="shared" si="24"/>
        <v>12.049287169252436</v>
      </c>
      <c r="J130" s="24">
        <f t="shared" si="24"/>
        <v>12.446948774954876</v>
      </c>
      <c r="K130" s="24">
        <f t="shared" si="24"/>
        <v>12.903117760281127</v>
      </c>
      <c r="M130" s="24">
        <f t="shared" si="25"/>
        <v>22336.912663519041</v>
      </c>
      <c r="N130" s="24">
        <f t="shared" si="26"/>
        <v>13.108516821313991</v>
      </c>
      <c r="O130" s="116">
        <f t="shared" si="27"/>
        <v>5.3151021854471514E-2</v>
      </c>
    </row>
    <row r="131" spans="3:15" ht="17.100000000000001" hidden="1" customHeight="1" outlineLevel="1" x14ac:dyDescent="0.3">
      <c r="C131" s="22" t="s">
        <v>38</v>
      </c>
      <c r="D131" s="24">
        <v>19838.116762240854</v>
      </c>
      <c r="E131" s="24">
        <v>20433.260265108078</v>
      </c>
      <c r="F131" s="24">
        <v>21046.258073061319</v>
      </c>
      <c r="G131" s="24">
        <v>21677.64581525316</v>
      </c>
      <c r="H131" s="24">
        <f t="shared" si="24"/>
        <v>11.500357543328031</v>
      </c>
      <c r="I131" s="24">
        <f t="shared" si="24"/>
        <v>11.879802479713998</v>
      </c>
      <c r="J131" s="24">
        <f t="shared" si="24"/>
        <v>12.271870596537212</v>
      </c>
      <c r="K131" s="24">
        <f t="shared" si="24"/>
        <v>12.721623131017113</v>
      </c>
      <c r="M131" s="24">
        <f t="shared" si="25"/>
        <v>22027.64581525316</v>
      </c>
      <c r="N131" s="24">
        <f t="shared" si="26"/>
        <v>12.927022192049977</v>
      </c>
      <c r="O131" s="116">
        <f t="shared" si="27"/>
        <v>5.3386449144731785E-2</v>
      </c>
    </row>
    <row r="132" spans="3:15" ht="17.100000000000001" hidden="1" customHeight="1" outlineLevel="1" x14ac:dyDescent="0.3">
      <c r="C132" s="22" t="s">
        <v>133</v>
      </c>
      <c r="D132" s="24">
        <v>22699.09</v>
      </c>
      <c r="E132" s="24">
        <v>23380.062699999999</v>
      </c>
      <c r="F132" s="24">
        <v>24081.464581</v>
      </c>
      <c r="G132" s="24">
        <v>24803.908518429998</v>
      </c>
      <c r="H132" s="24">
        <f t="shared" si="24"/>
        <v>13.158892753623189</v>
      </c>
      <c r="I132" s="24">
        <f t="shared" si="24"/>
        <v>13.593059709302326</v>
      </c>
      <c r="J132" s="24">
        <f t="shared" si="24"/>
        <v>14.041670309620992</v>
      </c>
      <c r="K132" s="24">
        <f t="shared" si="24"/>
        <v>14.556284341801643</v>
      </c>
      <c r="M132" s="24">
        <f t="shared" si="25"/>
        <v>25153.908518429998</v>
      </c>
      <c r="N132" s="24">
        <f t="shared" si="26"/>
        <v>14.761683402834507</v>
      </c>
      <c r="O132" s="116">
        <f t="shared" si="27"/>
        <v>5.1276883542848983E-2</v>
      </c>
    </row>
    <row r="133" spans="3:15" ht="17.100000000000001" hidden="1" customHeight="1" outlineLevel="1" x14ac:dyDescent="0.3">
      <c r="C133" s="22" t="s">
        <v>134</v>
      </c>
      <c r="D133" s="24">
        <v>20681.39</v>
      </c>
      <c r="E133" s="24">
        <v>21301.831699999999</v>
      </c>
      <c r="F133" s="24">
        <v>21940.886650999997</v>
      </c>
      <c r="G133" s="24">
        <v>22599.113250529997</v>
      </c>
      <c r="H133" s="24">
        <f t="shared" si="24"/>
        <v>11.989211594202898</v>
      </c>
      <c r="I133" s="24">
        <f t="shared" si="24"/>
        <v>12.384785872093023</v>
      </c>
      <c r="J133" s="24">
        <f t="shared" si="24"/>
        <v>12.793519913119532</v>
      </c>
      <c r="K133" s="24">
        <f t="shared" si="24"/>
        <v>13.262390405240609</v>
      </c>
      <c r="M133" s="24">
        <f t="shared" si="25"/>
        <v>22949.113250529997</v>
      </c>
      <c r="N133" s="24">
        <f t="shared" si="26"/>
        <v>13.467789466273473</v>
      </c>
      <c r="O133" s="116">
        <f t="shared" si="27"/>
        <v>5.2703990593119698E-2</v>
      </c>
    </row>
    <row r="134" spans="3:15" ht="17.100000000000001" hidden="1" customHeight="1" outlineLevel="1" x14ac:dyDescent="0.3">
      <c r="C134" s="22" t="s">
        <v>135</v>
      </c>
      <c r="D134" s="24">
        <v>20681.39</v>
      </c>
      <c r="E134" s="24">
        <v>21301.831699999999</v>
      </c>
      <c r="F134" s="24">
        <v>21940.886650999997</v>
      </c>
      <c r="G134" s="24">
        <v>22599.113250529997</v>
      </c>
      <c r="H134" s="24">
        <f t="shared" si="24"/>
        <v>11.989211594202898</v>
      </c>
      <c r="I134" s="24">
        <f t="shared" si="24"/>
        <v>12.384785872093023</v>
      </c>
      <c r="J134" s="24">
        <f t="shared" si="24"/>
        <v>12.793519913119532</v>
      </c>
      <c r="K134" s="24">
        <f t="shared" si="24"/>
        <v>13.262390405240609</v>
      </c>
      <c r="M134" s="24">
        <f t="shared" si="25"/>
        <v>22949.113250529997</v>
      </c>
      <c r="N134" s="24">
        <f t="shared" si="26"/>
        <v>13.467789466273473</v>
      </c>
      <c r="O134" s="116">
        <f t="shared" si="27"/>
        <v>5.2703990593119698E-2</v>
      </c>
    </row>
    <row r="135" spans="3:15" ht="17.100000000000001" hidden="1" customHeight="1" outlineLevel="1" x14ac:dyDescent="0.3">
      <c r="C135" s="22" t="s">
        <v>43</v>
      </c>
      <c r="D135" s="24">
        <v>20681.39</v>
      </c>
      <c r="E135" s="24">
        <v>21301.831699999999</v>
      </c>
      <c r="F135" s="24">
        <v>21940.886650999997</v>
      </c>
      <c r="G135" s="24">
        <v>22599.113250529997</v>
      </c>
      <c r="H135" s="24">
        <f t="shared" si="24"/>
        <v>11.989211594202898</v>
      </c>
      <c r="I135" s="24">
        <f t="shared" si="24"/>
        <v>12.384785872093023</v>
      </c>
      <c r="J135" s="24">
        <f t="shared" si="24"/>
        <v>12.793519913119532</v>
      </c>
      <c r="K135" s="24">
        <f t="shared" si="24"/>
        <v>13.262390405240609</v>
      </c>
      <c r="M135" s="24">
        <f t="shared" si="25"/>
        <v>22949.113250529997</v>
      </c>
      <c r="N135" s="24">
        <f t="shared" si="26"/>
        <v>13.467789466273473</v>
      </c>
      <c r="O135" s="116">
        <f t="shared" si="27"/>
        <v>5.2703990593119698E-2</v>
      </c>
    </row>
    <row r="136" spans="3:15" ht="17.100000000000001" hidden="1" customHeight="1" outlineLevel="1" x14ac:dyDescent="0.3">
      <c r="C136" s="22" t="s">
        <v>44</v>
      </c>
      <c r="D136" s="24">
        <v>21456.560000000001</v>
      </c>
      <c r="E136" s="24">
        <v>22100.256800000003</v>
      </c>
      <c r="F136" s="24">
        <v>22763.264504000002</v>
      </c>
      <c r="G136" s="24">
        <v>23446.162439120002</v>
      </c>
      <c r="H136" s="24">
        <f t="shared" si="24"/>
        <v>12.438585507246378</v>
      </c>
      <c r="I136" s="24">
        <f t="shared" si="24"/>
        <v>12.848986511627908</v>
      </c>
      <c r="J136" s="24">
        <f t="shared" si="24"/>
        <v>13.273040527113704</v>
      </c>
      <c r="K136" s="24">
        <f t="shared" si="24"/>
        <v>13.75948499948357</v>
      </c>
      <c r="M136" s="24">
        <f t="shared" si="25"/>
        <v>23796.162439120002</v>
      </c>
      <c r="N136" s="24">
        <f t="shared" si="26"/>
        <v>13.964884060516432</v>
      </c>
      <c r="O136" s="116">
        <f t="shared" si="27"/>
        <v>5.212396752571169E-2</v>
      </c>
    </row>
    <row r="137" spans="3:15" ht="17.100000000000001" hidden="1" customHeight="1" outlineLevel="1" x14ac:dyDescent="0.3">
      <c r="C137" s="22" t="s">
        <v>45</v>
      </c>
      <c r="D137" s="24">
        <v>19173.96</v>
      </c>
      <c r="E137" s="24">
        <v>19749.178799999998</v>
      </c>
      <c r="F137" s="24">
        <v>20341.654164</v>
      </c>
      <c r="G137" s="24">
        <v>20951.903788920001</v>
      </c>
      <c r="H137" s="24">
        <f t="shared" si="24"/>
        <v>11.115339130434782</v>
      </c>
      <c r="I137" s="24">
        <f t="shared" si="24"/>
        <v>11.482080697674418</v>
      </c>
      <c r="J137" s="24">
        <f t="shared" si="24"/>
        <v>11.861022836151603</v>
      </c>
      <c r="K137" s="24">
        <f t="shared" si="24"/>
        <v>12.295718185985915</v>
      </c>
      <c r="M137" s="24">
        <f t="shared" si="25"/>
        <v>21301.903788920001</v>
      </c>
      <c r="N137" s="24">
        <f t="shared" si="26"/>
        <v>12.501117247018779</v>
      </c>
      <c r="O137" s="116">
        <f t="shared" si="27"/>
        <v>5.3966206768965241E-2</v>
      </c>
    </row>
    <row r="138" spans="3:15" ht="17.100000000000001" hidden="1" customHeight="1" outlineLevel="1" x14ac:dyDescent="0.3">
      <c r="C138" s="22" t="s">
        <v>46</v>
      </c>
      <c r="D138" s="24">
        <v>18015.150000000001</v>
      </c>
      <c r="E138" s="24">
        <v>18555.604500000001</v>
      </c>
      <c r="F138" s="24">
        <v>19112.272635000001</v>
      </c>
      <c r="G138" s="24">
        <v>19685.640814050003</v>
      </c>
      <c r="H138" s="24">
        <f t="shared" si="24"/>
        <v>10.443565217391305</v>
      </c>
      <c r="I138" s="24">
        <f t="shared" si="24"/>
        <v>10.788142151162791</v>
      </c>
      <c r="J138" s="24">
        <f t="shared" si="24"/>
        <v>11.144182294460641</v>
      </c>
      <c r="K138" s="24">
        <f t="shared" si="24"/>
        <v>11.552606111531691</v>
      </c>
      <c r="M138" s="24">
        <f t="shared" si="25"/>
        <v>20035.640814050003</v>
      </c>
      <c r="N138" s="24">
        <f t="shared" si="26"/>
        <v>11.758005172564555</v>
      </c>
      <c r="O138" s="116">
        <f t="shared" si="27"/>
        <v>5.5080118207418538E-2</v>
      </c>
    </row>
    <row r="139" spans="3:15" ht="17.100000000000001" hidden="1" customHeight="1" outlineLevel="1" x14ac:dyDescent="0.3">
      <c r="C139" s="22" t="s">
        <v>48</v>
      </c>
      <c r="D139" s="24">
        <v>20681.39</v>
      </c>
      <c r="E139" s="24">
        <v>21301.831699999999</v>
      </c>
      <c r="F139" s="24">
        <v>21940.886650999997</v>
      </c>
      <c r="G139" s="24">
        <v>22599.113250529997</v>
      </c>
      <c r="H139" s="24">
        <f t="shared" si="24"/>
        <v>11.989211594202898</v>
      </c>
      <c r="I139" s="24">
        <f t="shared" si="24"/>
        <v>12.384785872093023</v>
      </c>
      <c r="J139" s="24">
        <f t="shared" si="24"/>
        <v>12.793519913119532</v>
      </c>
      <c r="K139" s="24">
        <f t="shared" si="24"/>
        <v>13.262390405240609</v>
      </c>
      <c r="M139" s="24">
        <f t="shared" si="25"/>
        <v>22949.113250529997</v>
      </c>
      <c r="N139" s="24">
        <f t="shared" si="26"/>
        <v>13.467789466273473</v>
      </c>
      <c r="O139" s="116">
        <f t="shared" si="27"/>
        <v>5.2703990593119698E-2</v>
      </c>
    </row>
    <row r="140" spans="3:15" ht="17.100000000000001" hidden="1" customHeight="1" outlineLevel="1" x14ac:dyDescent="0.3">
      <c r="C140" s="22" t="s">
        <v>136</v>
      </c>
      <c r="D140" s="24">
        <v>20681.39</v>
      </c>
      <c r="E140" s="24">
        <v>21301.831699999999</v>
      </c>
      <c r="F140" s="24">
        <v>21940.886650999997</v>
      </c>
      <c r="G140" s="24">
        <v>22599.113250529997</v>
      </c>
      <c r="H140" s="24">
        <f t="shared" si="24"/>
        <v>11.989211594202898</v>
      </c>
      <c r="I140" s="24">
        <f t="shared" si="24"/>
        <v>12.384785872093023</v>
      </c>
      <c r="J140" s="24">
        <f t="shared" si="24"/>
        <v>12.793519913119532</v>
      </c>
      <c r="K140" s="24">
        <f t="shared" si="24"/>
        <v>13.262390405240609</v>
      </c>
      <c r="M140" s="24">
        <f t="shared" si="25"/>
        <v>22949.113250529997</v>
      </c>
      <c r="N140" s="24">
        <f t="shared" si="26"/>
        <v>13.467789466273473</v>
      </c>
      <c r="O140" s="116">
        <f t="shared" si="27"/>
        <v>5.2703990593119698E-2</v>
      </c>
    </row>
    <row r="141" spans="3:15" ht="17.100000000000001" hidden="1" customHeight="1" outlineLevel="1" x14ac:dyDescent="0.3">
      <c r="C141" s="22" t="s">
        <v>49</v>
      </c>
      <c r="D141" s="24">
        <v>18015.150000000001</v>
      </c>
      <c r="E141" s="24">
        <v>18555.604500000001</v>
      </c>
      <c r="F141" s="24">
        <v>19112.272635000001</v>
      </c>
      <c r="G141" s="24">
        <v>19685.640814050003</v>
      </c>
      <c r="H141" s="24">
        <f t="shared" si="24"/>
        <v>10.443565217391305</v>
      </c>
      <c r="I141" s="24">
        <f t="shared" si="24"/>
        <v>10.788142151162791</v>
      </c>
      <c r="J141" s="24">
        <f t="shared" si="24"/>
        <v>11.144182294460641</v>
      </c>
      <c r="K141" s="24">
        <f t="shared" si="24"/>
        <v>11.552606111531691</v>
      </c>
      <c r="M141" s="24">
        <f t="shared" si="25"/>
        <v>20035.640814050003</v>
      </c>
      <c r="N141" s="24">
        <f t="shared" si="26"/>
        <v>11.758005172564555</v>
      </c>
      <c r="O141" s="116">
        <f t="shared" si="27"/>
        <v>5.5080118207418538E-2</v>
      </c>
    </row>
    <row r="142" spans="3:15" ht="17.100000000000001" hidden="1" customHeight="1" outlineLevel="1" x14ac:dyDescent="0.3">
      <c r="C142" s="22" t="s">
        <v>50</v>
      </c>
      <c r="D142" s="24">
        <v>18015.150000000001</v>
      </c>
      <c r="E142" s="24">
        <v>18555.604500000001</v>
      </c>
      <c r="F142" s="24">
        <v>19112.272635000001</v>
      </c>
      <c r="G142" s="24">
        <v>19685.640814050003</v>
      </c>
      <c r="H142" s="24">
        <f t="shared" si="24"/>
        <v>10.443565217391305</v>
      </c>
      <c r="I142" s="24">
        <f t="shared" si="24"/>
        <v>10.788142151162791</v>
      </c>
      <c r="J142" s="24">
        <f t="shared" si="24"/>
        <v>11.144182294460641</v>
      </c>
      <c r="K142" s="24">
        <f t="shared" si="24"/>
        <v>11.552606111531691</v>
      </c>
      <c r="M142" s="24">
        <f t="shared" si="25"/>
        <v>20035.640814050003</v>
      </c>
      <c r="N142" s="24">
        <f t="shared" si="26"/>
        <v>11.758005172564555</v>
      </c>
      <c r="O142" s="116">
        <f t="shared" si="27"/>
        <v>5.5080118207418538E-2</v>
      </c>
    </row>
    <row r="143" spans="3:15" ht="17.100000000000001" hidden="1" customHeight="1" outlineLevel="1" x14ac:dyDescent="0.3">
      <c r="C143" s="22" t="s">
        <v>137</v>
      </c>
      <c r="D143" s="24">
        <v>18015.150000000001</v>
      </c>
      <c r="E143" s="24">
        <v>18555.604500000001</v>
      </c>
      <c r="F143" s="24">
        <v>19112.272635000001</v>
      </c>
      <c r="G143" s="24">
        <v>19685.640814050003</v>
      </c>
      <c r="H143" s="24">
        <f t="shared" si="24"/>
        <v>10.443565217391305</v>
      </c>
      <c r="I143" s="24">
        <f t="shared" si="24"/>
        <v>10.788142151162791</v>
      </c>
      <c r="J143" s="24">
        <f t="shared" si="24"/>
        <v>11.144182294460641</v>
      </c>
      <c r="K143" s="24">
        <f t="shared" si="24"/>
        <v>11.552606111531691</v>
      </c>
      <c r="M143" s="24">
        <f t="shared" si="25"/>
        <v>20035.640814050003</v>
      </c>
      <c r="N143" s="24">
        <f t="shared" si="26"/>
        <v>11.758005172564555</v>
      </c>
      <c r="O143" s="116">
        <f t="shared" si="27"/>
        <v>5.5080118207418538E-2</v>
      </c>
    </row>
    <row r="144" spans="3:15" ht="17.100000000000001" hidden="1" customHeight="1" outlineLevel="1" x14ac:dyDescent="0.3">
      <c r="C144" s="22" t="s">
        <v>138</v>
      </c>
      <c r="D144" s="24">
        <v>18015.150000000001</v>
      </c>
      <c r="E144" s="24">
        <v>18555.604500000001</v>
      </c>
      <c r="F144" s="24">
        <v>19112.272635000001</v>
      </c>
      <c r="G144" s="24">
        <v>19685.640814050003</v>
      </c>
      <c r="H144" s="24">
        <f t="shared" si="24"/>
        <v>10.443565217391305</v>
      </c>
      <c r="I144" s="24">
        <f t="shared" si="24"/>
        <v>10.788142151162791</v>
      </c>
      <c r="J144" s="24">
        <f t="shared" si="24"/>
        <v>11.144182294460641</v>
      </c>
      <c r="K144" s="24">
        <f t="shared" si="24"/>
        <v>11.552606111531691</v>
      </c>
      <c r="M144" s="24">
        <f t="shared" si="25"/>
        <v>20035.640814050003</v>
      </c>
      <c r="N144" s="24">
        <f t="shared" si="26"/>
        <v>11.758005172564555</v>
      </c>
      <c r="O144" s="116">
        <f t="shared" si="27"/>
        <v>5.5080118207418538E-2</v>
      </c>
    </row>
    <row r="145" spans="2:23" ht="17.100000000000001" hidden="1" customHeight="1" outlineLevel="1" x14ac:dyDescent="0.3">
      <c r="C145" s="22" t="s">
        <v>53</v>
      </c>
      <c r="D145" s="24">
        <v>18015.150000000001</v>
      </c>
      <c r="E145" s="24">
        <v>18555.604500000001</v>
      </c>
      <c r="F145" s="24">
        <v>19112.272635000001</v>
      </c>
      <c r="G145" s="24">
        <v>19685.640814050003</v>
      </c>
      <c r="H145" s="24">
        <f>+D145/H$112</f>
        <v>10.443565217391305</v>
      </c>
      <c r="I145" s="24">
        <f t="shared" ref="I145:K145" si="28">+E145/I$112</f>
        <v>10.788142151162791</v>
      </c>
      <c r="J145" s="24">
        <f t="shared" si="28"/>
        <v>11.144182294460641</v>
      </c>
      <c r="K145" s="24">
        <f t="shared" si="28"/>
        <v>11.552606111531691</v>
      </c>
      <c r="M145" s="24">
        <f t="shared" si="25"/>
        <v>20035.640814050003</v>
      </c>
      <c r="N145" s="24">
        <f t="shared" si="26"/>
        <v>11.758005172564555</v>
      </c>
      <c r="O145" s="116">
        <f>+N145/J145-1</f>
        <v>5.5080118207418538E-2</v>
      </c>
    </row>
    <row r="146" spans="2:23" hidden="1" outlineLevel="1" x14ac:dyDescent="0.3"/>
    <row r="147" spans="2:23" hidden="1" outlineLevel="1" x14ac:dyDescent="0.3">
      <c r="B147" s="122" t="s">
        <v>139</v>
      </c>
      <c r="C147" s="58" t="s">
        <v>140</v>
      </c>
      <c r="D147" s="123"/>
    </row>
    <row r="148" spans="2:23" hidden="1" outlineLevel="1" x14ac:dyDescent="0.3">
      <c r="B148" s="124" t="s">
        <v>141</v>
      </c>
      <c r="C148" s="125" t="s">
        <v>142</v>
      </c>
      <c r="D148" s="125"/>
    </row>
    <row r="149" spans="2:23" hidden="1" outlineLevel="1" x14ac:dyDescent="0.3">
      <c r="B149" s="124"/>
      <c r="C149" s="125"/>
      <c r="D149" s="125"/>
    </row>
    <row r="150" spans="2:23" hidden="1" outlineLevel="1" x14ac:dyDescent="0.3">
      <c r="B150" s="124"/>
      <c r="C150" s="125"/>
      <c r="D150" s="125"/>
    </row>
    <row r="151" spans="2:23" hidden="1" outlineLevel="1" x14ac:dyDescent="0.3">
      <c r="G151" s="110"/>
      <c r="H151" s="110"/>
      <c r="I151" s="110"/>
      <c r="J151" s="110"/>
      <c r="K151" s="110"/>
    </row>
    <row r="152" spans="2:23" collapsed="1" x14ac:dyDescent="0.3"/>
    <row r="153" spans="2:23" ht="20.100000000000001" customHeight="1" x14ac:dyDescent="0.3">
      <c r="B153" s="126" t="s">
        <v>143</v>
      </c>
      <c r="C153" s="127"/>
      <c r="D153" s="128"/>
      <c r="E153" s="128"/>
      <c r="F153" s="128"/>
      <c r="G153" s="127"/>
      <c r="H153" s="127"/>
      <c r="I153" s="127"/>
      <c r="J153" s="127"/>
      <c r="K153" s="127"/>
      <c r="L153" s="127"/>
    </row>
    <row r="154" spans="2:23" hidden="1" outlineLevel="1" x14ac:dyDescent="0.3">
      <c r="D154" s="1"/>
      <c r="E154" s="1"/>
      <c r="F154" s="1"/>
      <c r="O154" s="121"/>
    </row>
    <row r="155" spans="2:23" hidden="1" outlineLevel="1" x14ac:dyDescent="0.3">
      <c r="B155" s="1" t="s">
        <v>144</v>
      </c>
      <c r="D155" s="1"/>
      <c r="E155" s="1"/>
      <c r="F155" s="10"/>
      <c r="I155" s="1" t="s">
        <v>145</v>
      </c>
    </row>
    <row r="156" spans="2:23" hidden="1" outlineLevel="1" x14ac:dyDescent="0.3">
      <c r="C156" s="71" t="s">
        <v>146</v>
      </c>
      <c r="D156" s="2">
        <v>38.5</v>
      </c>
      <c r="E156" s="1"/>
      <c r="F156" s="10"/>
      <c r="G156" s="108"/>
      <c r="I156" s="108"/>
    </row>
    <row r="157" spans="2:23" hidden="1" outlineLevel="1" x14ac:dyDescent="0.3">
      <c r="C157" s="71" t="s">
        <v>147</v>
      </c>
      <c r="D157" s="2">
        <v>1742</v>
      </c>
      <c r="E157" s="30"/>
      <c r="F157" s="10">
        <v>1.4E-2</v>
      </c>
      <c r="G157" s="10">
        <v>8.9999999999999993E-3</v>
      </c>
      <c r="I157" s="10">
        <v>5.0000000000000001E-3</v>
      </c>
      <c r="K157" s="10">
        <v>0.01</v>
      </c>
    </row>
    <row r="158" spans="2:23" ht="24" hidden="1" outlineLevel="1" x14ac:dyDescent="0.3">
      <c r="B158" s="12" t="s">
        <v>8</v>
      </c>
      <c r="C158" s="12" t="s">
        <v>9</v>
      </c>
      <c r="D158" s="129" t="s">
        <v>148</v>
      </c>
      <c r="E158" s="129" t="s">
        <v>149</v>
      </c>
      <c r="F158" s="129" t="s">
        <v>150</v>
      </c>
      <c r="G158" s="129" t="s">
        <v>151</v>
      </c>
      <c r="H158" s="129" t="s">
        <v>105</v>
      </c>
      <c r="I158" s="129" t="s">
        <v>152</v>
      </c>
      <c r="J158" s="129" t="s">
        <v>105</v>
      </c>
      <c r="K158" s="129" t="s">
        <v>153</v>
      </c>
      <c r="L158" s="129" t="s">
        <v>105</v>
      </c>
      <c r="M158" s="130" t="s">
        <v>14</v>
      </c>
      <c r="N158" s="131" t="s">
        <v>105</v>
      </c>
    </row>
    <row r="159" spans="2:23" hidden="1" outlineLevel="1" x14ac:dyDescent="0.3">
      <c r="B159" s="21" t="s">
        <v>154</v>
      </c>
      <c r="C159" s="21" t="s">
        <v>22</v>
      </c>
      <c r="D159" s="95">
        <v>20293.07</v>
      </c>
      <c r="E159" s="95">
        <v>20901.86</v>
      </c>
      <c r="F159" s="95">
        <f>+E159+E159*$F$157</f>
        <v>21194.48604</v>
      </c>
      <c r="G159" s="95">
        <f>+F159+F159*$G$157</f>
        <v>21385.236414359999</v>
      </c>
      <c r="H159" s="95">
        <f>+G159/$D$157</f>
        <v>12.276255117313433</v>
      </c>
      <c r="I159" s="95">
        <f>+G159+G159*$I$157</f>
        <v>21492.162596431797</v>
      </c>
      <c r="J159" s="95">
        <f>+I159/$D$157</f>
        <v>12.337636392899999</v>
      </c>
      <c r="K159" s="95">
        <f>+I159+I159*$K$157</f>
        <v>21707.084222396115</v>
      </c>
      <c r="L159" s="95">
        <f>+K159/$D$157</f>
        <v>12.461012756828998</v>
      </c>
      <c r="M159" s="95">
        <f>+K159</f>
        <v>21707.084222396115</v>
      </c>
      <c r="N159" s="95">
        <f>+M159/$D$157</f>
        <v>12.461012756828998</v>
      </c>
      <c r="W159" s="29"/>
    </row>
    <row r="160" spans="2:23" hidden="1" outlineLevel="1" x14ac:dyDescent="0.3">
      <c r="B160" s="31" t="s">
        <v>23</v>
      </c>
      <c r="C160" s="21" t="s">
        <v>24</v>
      </c>
      <c r="D160" s="95">
        <v>17756.439999999999</v>
      </c>
      <c r="E160" s="95">
        <v>19179.150000000001</v>
      </c>
      <c r="F160" s="95">
        <f t="shared" ref="F160:F186" si="29">+E160+E160*$F$157</f>
        <v>19447.658100000001</v>
      </c>
      <c r="G160" s="95">
        <f t="shared" ref="G160:G186" si="30">+F160+F160*$G$157</f>
        <v>19622.687022900001</v>
      </c>
      <c r="H160" s="95">
        <f t="shared" ref="H160:H186" si="31">+G160/$D$157</f>
        <v>11.264458681343285</v>
      </c>
      <c r="I160" s="95">
        <f>+G160+G160*$I$157</f>
        <v>19720.800458014503</v>
      </c>
      <c r="J160" s="95">
        <f t="shared" ref="J160:L186" si="32">+I160/$D$157</f>
        <v>11.320780974750001</v>
      </c>
      <c r="K160" s="95">
        <f t="shared" ref="K160:K181" si="33">+I160+I160*$K$157</f>
        <v>19918.008462594647</v>
      </c>
      <c r="L160" s="95">
        <f t="shared" si="32"/>
        <v>11.433988784497501</v>
      </c>
      <c r="M160" s="95">
        <f t="shared" ref="M160:M172" si="34">+K160</f>
        <v>19918.008462594647</v>
      </c>
      <c r="N160" s="95">
        <f t="shared" ref="N160:N185" si="35">+M160/$D$157</f>
        <v>11.433988784497501</v>
      </c>
      <c r="W160" s="29"/>
    </row>
    <row r="161" spans="2:14" hidden="1" outlineLevel="1" x14ac:dyDescent="0.3">
      <c r="B161" s="32"/>
      <c r="C161" s="21" t="s">
        <v>25</v>
      </c>
      <c r="D161" s="95">
        <v>17756.439999999999</v>
      </c>
      <c r="E161" s="95">
        <v>19179.150000000001</v>
      </c>
      <c r="F161" s="95">
        <f t="shared" si="29"/>
        <v>19447.658100000001</v>
      </c>
      <c r="G161" s="95">
        <f t="shared" si="30"/>
        <v>19622.687022900001</v>
      </c>
      <c r="H161" s="95">
        <f t="shared" si="31"/>
        <v>11.264458681343285</v>
      </c>
      <c r="I161" s="95">
        <f t="shared" ref="I161:I181" si="36">+G161+G161*$I$157</f>
        <v>19720.800458014503</v>
      </c>
      <c r="J161" s="95">
        <f t="shared" si="32"/>
        <v>11.320780974750001</v>
      </c>
      <c r="K161" s="95">
        <f t="shared" si="33"/>
        <v>19918.008462594647</v>
      </c>
      <c r="L161" s="95">
        <f t="shared" si="32"/>
        <v>11.433988784497501</v>
      </c>
      <c r="M161" s="95">
        <f t="shared" si="34"/>
        <v>19918.008462594647</v>
      </c>
      <c r="N161" s="95">
        <f t="shared" si="35"/>
        <v>11.433988784497501</v>
      </c>
    </row>
    <row r="162" spans="2:14" hidden="1" outlineLevel="1" x14ac:dyDescent="0.3">
      <c r="B162" s="32"/>
      <c r="C162" s="21" t="s">
        <v>26</v>
      </c>
      <c r="D162" s="95">
        <v>17122.29</v>
      </c>
      <c r="E162" s="95">
        <v>19179.18</v>
      </c>
      <c r="F162" s="95">
        <f t="shared" si="29"/>
        <v>19447.68852</v>
      </c>
      <c r="G162" s="95">
        <f t="shared" si="30"/>
        <v>19622.717716679999</v>
      </c>
      <c r="H162" s="95">
        <f t="shared" si="31"/>
        <v>11.26447630119403</v>
      </c>
      <c r="I162" s="95">
        <f t="shared" si="36"/>
        <v>19720.8313052634</v>
      </c>
      <c r="J162" s="95">
        <f t="shared" si="32"/>
        <v>11.3207986827</v>
      </c>
      <c r="K162" s="95">
        <f t="shared" si="33"/>
        <v>19918.039618316034</v>
      </c>
      <c r="L162" s="95">
        <f t="shared" si="32"/>
        <v>11.434006669526999</v>
      </c>
      <c r="M162" s="95">
        <f t="shared" si="34"/>
        <v>19918.039618316034</v>
      </c>
      <c r="N162" s="95">
        <f t="shared" si="35"/>
        <v>11.434006669526999</v>
      </c>
    </row>
    <row r="163" spans="2:14" hidden="1" outlineLevel="1" x14ac:dyDescent="0.3">
      <c r="B163" s="32"/>
      <c r="C163" s="21" t="s">
        <v>27</v>
      </c>
      <c r="D163" s="95">
        <v>17122.29</v>
      </c>
      <c r="E163" s="95">
        <v>19179.18</v>
      </c>
      <c r="F163" s="95">
        <f t="shared" si="29"/>
        <v>19447.68852</v>
      </c>
      <c r="G163" s="95">
        <f t="shared" si="30"/>
        <v>19622.717716679999</v>
      </c>
      <c r="H163" s="95">
        <f t="shared" si="31"/>
        <v>11.26447630119403</v>
      </c>
      <c r="I163" s="95">
        <f t="shared" si="36"/>
        <v>19720.8313052634</v>
      </c>
      <c r="J163" s="95">
        <f t="shared" si="32"/>
        <v>11.3207986827</v>
      </c>
      <c r="K163" s="95">
        <f t="shared" si="33"/>
        <v>19918.039618316034</v>
      </c>
      <c r="L163" s="95">
        <f t="shared" si="32"/>
        <v>11.434006669526999</v>
      </c>
      <c r="M163" s="95">
        <f t="shared" si="34"/>
        <v>19918.039618316034</v>
      </c>
      <c r="N163" s="95">
        <f t="shared" si="35"/>
        <v>11.434006669526999</v>
      </c>
    </row>
    <row r="164" spans="2:14" hidden="1" outlineLevel="1" x14ac:dyDescent="0.3">
      <c r="B164" s="33"/>
      <c r="C164" s="21" t="s">
        <v>28</v>
      </c>
      <c r="D164" s="95">
        <v>17122.29</v>
      </c>
      <c r="E164" s="95">
        <v>19179.18</v>
      </c>
      <c r="F164" s="95">
        <f t="shared" si="29"/>
        <v>19447.68852</v>
      </c>
      <c r="G164" s="95">
        <f t="shared" si="30"/>
        <v>19622.717716679999</v>
      </c>
      <c r="H164" s="95">
        <f t="shared" si="31"/>
        <v>11.26447630119403</v>
      </c>
      <c r="I164" s="95">
        <f t="shared" si="36"/>
        <v>19720.8313052634</v>
      </c>
      <c r="J164" s="95">
        <f t="shared" si="32"/>
        <v>11.3207986827</v>
      </c>
      <c r="K164" s="95">
        <f t="shared" si="33"/>
        <v>19918.039618316034</v>
      </c>
      <c r="L164" s="95">
        <f t="shared" si="32"/>
        <v>11.434006669526999</v>
      </c>
      <c r="M164" s="95">
        <f t="shared" si="34"/>
        <v>19918.039618316034</v>
      </c>
      <c r="N164" s="95">
        <f t="shared" si="35"/>
        <v>11.434006669526999</v>
      </c>
    </row>
    <row r="165" spans="2:14" ht="15" hidden="1" customHeight="1" outlineLevel="1" x14ac:dyDescent="0.3">
      <c r="B165" s="31" t="s">
        <v>29</v>
      </c>
      <c r="C165" s="21" t="s">
        <v>30</v>
      </c>
      <c r="D165" s="95">
        <v>16488.12</v>
      </c>
      <c r="E165" s="95">
        <v>18466.689999999999</v>
      </c>
      <c r="F165" s="95">
        <f t="shared" si="29"/>
        <v>18725.22366</v>
      </c>
      <c r="G165" s="95">
        <f t="shared" si="30"/>
        <v>18893.750672940001</v>
      </c>
      <c r="H165" s="95">
        <f t="shared" si="31"/>
        <v>10.846010719253732</v>
      </c>
      <c r="I165" s="95">
        <f t="shared" si="36"/>
        <v>18988.219426304702</v>
      </c>
      <c r="J165" s="95">
        <f t="shared" si="32"/>
        <v>10.900240772850001</v>
      </c>
      <c r="K165" s="95">
        <f t="shared" si="33"/>
        <v>19178.101620567748</v>
      </c>
      <c r="L165" s="95">
        <f t="shared" si="32"/>
        <v>11.009243180578501</v>
      </c>
      <c r="M165" s="95">
        <f t="shared" si="34"/>
        <v>19178.101620567748</v>
      </c>
      <c r="N165" s="95">
        <f t="shared" si="35"/>
        <v>11.009243180578501</v>
      </c>
    </row>
    <row r="166" spans="2:14" hidden="1" outlineLevel="1" x14ac:dyDescent="0.3">
      <c r="B166" s="32"/>
      <c r="C166" s="21" t="s">
        <v>31</v>
      </c>
      <c r="D166" s="95">
        <v>15853.97</v>
      </c>
      <c r="E166" s="95">
        <v>17756.45</v>
      </c>
      <c r="F166" s="95">
        <f t="shared" si="29"/>
        <v>18005.040300000001</v>
      </c>
      <c r="G166" s="95">
        <f t="shared" si="30"/>
        <v>18167.085662699999</v>
      </c>
      <c r="H166" s="95">
        <f t="shared" si="31"/>
        <v>10.428866626119403</v>
      </c>
      <c r="I166" s="95">
        <f t="shared" si="36"/>
        <v>18257.921091013501</v>
      </c>
      <c r="J166" s="95">
        <f t="shared" si="32"/>
        <v>10.48101095925</v>
      </c>
      <c r="K166" s="95">
        <f t="shared" si="33"/>
        <v>18440.500301923636</v>
      </c>
      <c r="L166" s="95">
        <f t="shared" si="32"/>
        <v>10.585821068842501</v>
      </c>
      <c r="M166" s="95">
        <f t="shared" si="34"/>
        <v>18440.500301923636</v>
      </c>
      <c r="N166" s="95">
        <f t="shared" si="35"/>
        <v>10.585821068842501</v>
      </c>
    </row>
    <row r="167" spans="2:14" hidden="1" outlineLevel="1" x14ac:dyDescent="0.3">
      <c r="B167" s="32"/>
      <c r="C167" s="21" t="s">
        <v>32</v>
      </c>
      <c r="D167" s="95">
        <v>15853.97</v>
      </c>
      <c r="E167" s="95">
        <v>17756.45</v>
      </c>
      <c r="F167" s="95">
        <f t="shared" si="29"/>
        <v>18005.040300000001</v>
      </c>
      <c r="G167" s="95">
        <f t="shared" si="30"/>
        <v>18167.085662699999</v>
      </c>
      <c r="H167" s="95">
        <f t="shared" si="31"/>
        <v>10.428866626119403</v>
      </c>
      <c r="I167" s="95">
        <f t="shared" si="36"/>
        <v>18257.921091013501</v>
      </c>
      <c r="J167" s="95">
        <f t="shared" si="32"/>
        <v>10.48101095925</v>
      </c>
      <c r="K167" s="95">
        <f t="shared" si="33"/>
        <v>18440.500301923636</v>
      </c>
      <c r="L167" s="95">
        <f t="shared" si="32"/>
        <v>10.585821068842501</v>
      </c>
      <c r="M167" s="95">
        <f t="shared" si="34"/>
        <v>18440.500301923636</v>
      </c>
      <c r="N167" s="95">
        <f t="shared" si="35"/>
        <v>10.585821068842501</v>
      </c>
    </row>
    <row r="168" spans="2:14" hidden="1" outlineLevel="1" x14ac:dyDescent="0.3">
      <c r="B168" s="32"/>
      <c r="C168" s="21" t="s">
        <v>155</v>
      </c>
      <c r="D168" s="95">
        <v>14902.72</v>
      </c>
      <c r="E168" s="95">
        <v>16691.05</v>
      </c>
      <c r="F168" s="95">
        <f t="shared" si="29"/>
        <v>16924.724699999999</v>
      </c>
      <c r="G168" s="95">
        <f t="shared" si="30"/>
        <v>17077.0472223</v>
      </c>
      <c r="H168" s="95">
        <f t="shared" si="31"/>
        <v>9.8031269932835823</v>
      </c>
      <c r="I168" s="95">
        <f t="shared" si="36"/>
        <v>17162.432458411498</v>
      </c>
      <c r="J168" s="95">
        <f t="shared" si="32"/>
        <v>9.8521426282499984</v>
      </c>
      <c r="K168" s="95">
        <f t="shared" si="33"/>
        <v>17334.056782995613</v>
      </c>
      <c r="L168" s="95">
        <f t="shared" si="32"/>
        <v>9.9506640545324991</v>
      </c>
      <c r="M168" s="95">
        <f t="shared" si="34"/>
        <v>17334.056782995613</v>
      </c>
      <c r="N168" s="95">
        <f t="shared" si="35"/>
        <v>9.9506640545324991</v>
      </c>
    </row>
    <row r="169" spans="2:14" hidden="1" outlineLevel="1" x14ac:dyDescent="0.3">
      <c r="B169" s="32"/>
      <c r="C169" s="21"/>
      <c r="D169" s="95"/>
      <c r="E169" s="95"/>
      <c r="F169" s="95"/>
      <c r="G169" s="95"/>
      <c r="H169" s="95"/>
      <c r="I169" s="95"/>
      <c r="J169" s="95"/>
      <c r="K169" s="95"/>
      <c r="L169" s="95"/>
      <c r="M169" s="95"/>
      <c r="N169" s="95"/>
    </row>
    <row r="170" spans="2:14" hidden="1" outlineLevel="1" x14ac:dyDescent="0.3">
      <c r="B170" s="32"/>
      <c r="C170" s="21" t="s">
        <v>34</v>
      </c>
      <c r="D170" s="95">
        <v>14902.72</v>
      </c>
      <c r="E170" s="95">
        <v>16691.05</v>
      </c>
      <c r="F170" s="95">
        <f t="shared" si="29"/>
        <v>16924.724699999999</v>
      </c>
      <c r="G170" s="95">
        <f t="shared" si="30"/>
        <v>17077.0472223</v>
      </c>
      <c r="H170" s="95">
        <f t="shared" si="31"/>
        <v>9.8031269932835823</v>
      </c>
      <c r="I170" s="95">
        <f t="shared" si="36"/>
        <v>17162.432458411498</v>
      </c>
      <c r="J170" s="95">
        <f t="shared" si="32"/>
        <v>9.8521426282499984</v>
      </c>
      <c r="K170" s="95">
        <f t="shared" si="33"/>
        <v>17334.056782995613</v>
      </c>
      <c r="L170" s="95">
        <f t="shared" si="32"/>
        <v>9.9506640545324991</v>
      </c>
      <c r="M170" s="95">
        <f t="shared" si="34"/>
        <v>17334.056782995613</v>
      </c>
      <c r="N170" s="95">
        <f t="shared" si="35"/>
        <v>9.9506640545324991</v>
      </c>
    </row>
    <row r="171" spans="2:14" hidden="1" outlineLevel="1" x14ac:dyDescent="0.3">
      <c r="B171" s="32"/>
      <c r="C171" s="21" t="s">
        <v>35</v>
      </c>
      <c r="D171" s="95">
        <v>13317.33</v>
      </c>
      <c r="E171" s="95">
        <v>14915.41</v>
      </c>
      <c r="F171" s="95">
        <f t="shared" si="29"/>
        <v>15124.22574</v>
      </c>
      <c r="G171" s="95">
        <f t="shared" si="30"/>
        <v>15260.34377166</v>
      </c>
      <c r="H171" s="95">
        <f t="shared" si="31"/>
        <v>8.7602432673134327</v>
      </c>
      <c r="I171" s="95">
        <f t="shared" si="36"/>
        <v>15336.6454905183</v>
      </c>
      <c r="J171" s="95">
        <f t="shared" si="32"/>
        <v>8.8040444836499994</v>
      </c>
      <c r="K171" s="95">
        <f t="shared" si="33"/>
        <v>15490.011945423483</v>
      </c>
      <c r="L171" s="95">
        <f t="shared" si="32"/>
        <v>8.8920849284865007</v>
      </c>
      <c r="M171" s="95">
        <f t="shared" si="34"/>
        <v>15490.011945423483</v>
      </c>
      <c r="N171" s="95">
        <f t="shared" si="35"/>
        <v>8.8920849284865007</v>
      </c>
    </row>
    <row r="172" spans="2:14" hidden="1" outlineLevel="1" x14ac:dyDescent="0.3">
      <c r="B172" s="32"/>
      <c r="C172" s="21" t="s">
        <v>156</v>
      </c>
      <c r="D172" s="95"/>
      <c r="E172" s="95"/>
      <c r="F172" s="95"/>
      <c r="G172" s="95"/>
      <c r="H172" s="95"/>
      <c r="I172" s="95">
        <v>17093.259999999998</v>
      </c>
      <c r="J172" s="95">
        <f t="shared" si="32"/>
        <v>9.8124339839265211</v>
      </c>
      <c r="K172" s="95">
        <v>17426.419999999998</v>
      </c>
      <c r="L172" s="95">
        <f>+K172/$D$157</f>
        <v>10.003685419058552</v>
      </c>
      <c r="M172" s="95">
        <f t="shared" si="34"/>
        <v>17426.419999999998</v>
      </c>
      <c r="N172" s="95">
        <f t="shared" si="35"/>
        <v>10.003685419058552</v>
      </c>
    </row>
    <row r="173" spans="2:14" hidden="1" outlineLevel="1" x14ac:dyDescent="0.3">
      <c r="B173" s="32"/>
      <c r="C173" s="21" t="s">
        <v>157</v>
      </c>
      <c r="D173" s="95"/>
      <c r="E173" s="95"/>
      <c r="F173" s="95"/>
      <c r="G173" s="95"/>
      <c r="H173" s="95"/>
      <c r="I173" s="95">
        <v>14436.94</v>
      </c>
      <c r="J173" s="95">
        <f t="shared" si="32"/>
        <v>8.2875660160734785</v>
      </c>
      <c r="K173" s="95">
        <v>14581.31</v>
      </c>
      <c r="L173" s="95">
        <f>+K173/$D$157</f>
        <v>8.3704420206659016</v>
      </c>
      <c r="M173" s="132">
        <f t="shared" ref="M173:M174" si="37">1080*14</f>
        <v>15120</v>
      </c>
      <c r="N173" s="95">
        <f t="shared" si="35"/>
        <v>8.6796785304247983</v>
      </c>
    </row>
    <row r="174" spans="2:14" hidden="1" outlineLevel="1" x14ac:dyDescent="0.3">
      <c r="B174" s="33"/>
      <c r="C174" s="21" t="s">
        <v>158</v>
      </c>
      <c r="D174" s="95"/>
      <c r="E174" s="95"/>
      <c r="F174" s="95"/>
      <c r="G174" s="95"/>
      <c r="H174" s="95"/>
      <c r="I174" s="95">
        <v>14233.93</v>
      </c>
      <c r="J174" s="95">
        <f t="shared" si="32"/>
        <v>8.1710275545350175</v>
      </c>
      <c r="K174" s="95">
        <v>14376.27</v>
      </c>
      <c r="L174" s="95">
        <f>+K174/$D$157</f>
        <v>8.2527382319173359</v>
      </c>
      <c r="M174" s="132">
        <f t="shared" si="37"/>
        <v>15120</v>
      </c>
      <c r="N174" s="95">
        <f t="shared" si="35"/>
        <v>8.6796785304247983</v>
      </c>
    </row>
    <row r="175" spans="2:14" hidden="1" outlineLevel="1" x14ac:dyDescent="0.3">
      <c r="B175" s="31" t="s">
        <v>39</v>
      </c>
      <c r="C175" s="21" t="s">
        <v>40</v>
      </c>
      <c r="D175" s="95">
        <v>15219.81</v>
      </c>
      <c r="E175" s="95">
        <v>17046.189999999999</v>
      </c>
      <c r="F175" s="95">
        <f t="shared" si="29"/>
        <v>17284.836659999997</v>
      </c>
      <c r="G175" s="95">
        <f t="shared" si="30"/>
        <v>17440.400189939995</v>
      </c>
      <c r="H175" s="95">
        <f t="shared" si="31"/>
        <v>10.011710786417908</v>
      </c>
      <c r="I175" s="95">
        <f t="shared" si="36"/>
        <v>17527.602190889695</v>
      </c>
      <c r="J175" s="95">
        <f t="shared" si="32"/>
        <v>10.061769340349997</v>
      </c>
      <c r="K175" s="95">
        <f t="shared" si="33"/>
        <v>17702.878212798591</v>
      </c>
      <c r="L175" s="95">
        <f t="shared" si="32"/>
        <v>10.162387033753497</v>
      </c>
      <c r="M175" s="95">
        <f t="shared" ref="M175:M176" si="38">+K175</f>
        <v>17702.878212798591</v>
      </c>
      <c r="N175" s="95">
        <f t="shared" si="35"/>
        <v>10.162387033753497</v>
      </c>
    </row>
    <row r="176" spans="2:14" hidden="1" outlineLevel="1" x14ac:dyDescent="0.3">
      <c r="B176" s="32"/>
      <c r="C176" s="21" t="s">
        <v>41</v>
      </c>
      <c r="D176" s="95">
        <v>13317.33</v>
      </c>
      <c r="E176" s="95">
        <v>14915.41</v>
      </c>
      <c r="F176" s="95">
        <f t="shared" si="29"/>
        <v>15124.22574</v>
      </c>
      <c r="G176" s="95">
        <f t="shared" si="30"/>
        <v>15260.34377166</v>
      </c>
      <c r="H176" s="95">
        <f t="shared" si="31"/>
        <v>8.7602432673134327</v>
      </c>
      <c r="I176" s="95">
        <f t="shared" si="36"/>
        <v>15336.6454905183</v>
      </c>
      <c r="J176" s="95">
        <f t="shared" si="32"/>
        <v>8.8040444836499994</v>
      </c>
      <c r="K176" s="95">
        <f t="shared" si="33"/>
        <v>15490.011945423483</v>
      </c>
      <c r="L176" s="95">
        <f t="shared" si="32"/>
        <v>8.8920849284865007</v>
      </c>
      <c r="M176" s="95">
        <f t="shared" si="38"/>
        <v>15490.011945423483</v>
      </c>
      <c r="N176" s="95">
        <f t="shared" si="35"/>
        <v>8.8920849284865007</v>
      </c>
    </row>
    <row r="177" spans="2:14" hidden="1" outlineLevel="1" x14ac:dyDescent="0.3">
      <c r="B177" s="31" t="s">
        <v>42</v>
      </c>
      <c r="C177" s="21" t="s">
        <v>43</v>
      </c>
      <c r="D177" s="95">
        <v>13317.33</v>
      </c>
      <c r="E177" s="95">
        <v>14128.38</v>
      </c>
      <c r="F177" s="95">
        <f t="shared" si="29"/>
        <v>14326.177319999999</v>
      </c>
      <c r="G177" s="95">
        <f t="shared" si="30"/>
        <v>14455.112915879999</v>
      </c>
      <c r="H177" s="95">
        <f t="shared" si="31"/>
        <v>8.2979982295522383</v>
      </c>
      <c r="I177" s="95">
        <v>14537.94</v>
      </c>
      <c r="J177" s="95">
        <f t="shared" si="32"/>
        <v>8.3455453501722161</v>
      </c>
      <c r="K177" s="95">
        <v>14683.32</v>
      </c>
      <c r="L177" s="95">
        <f t="shared" si="32"/>
        <v>8.4290011481056251</v>
      </c>
      <c r="M177" s="132">
        <f t="shared" ref="M177:M180" si="39">1080*14</f>
        <v>15120</v>
      </c>
      <c r="N177" s="95">
        <f t="shared" si="35"/>
        <v>8.6796785304247983</v>
      </c>
    </row>
    <row r="178" spans="2:14" hidden="1" outlineLevel="1" x14ac:dyDescent="0.3">
      <c r="B178" s="32"/>
      <c r="C178" s="21" t="s">
        <v>44</v>
      </c>
      <c r="D178" s="95">
        <v>13317.33</v>
      </c>
      <c r="E178" s="95">
        <v>14128.38</v>
      </c>
      <c r="F178" s="95">
        <f t="shared" si="29"/>
        <v>14326.177319999999</v>
      </c>
      <c r="G178" s="95">
        <f t="shared" si="30"/>
        <v>14455.112915879999</v>
      </c>
      <c r="H178" s="95">
        <f t="shared" si="31"/>
        <v>8.2979982295522383</v>
      </c>
      <c r="I178" s="95">
        <v>14537.94</v>
      </c>
      <c r="J178" s="95">
        <f t="shared" si="32"/>
        <v>8.3455453501722161</v>
      </c>
      <c r="K178" s="95">
        <v>14683.32</v>
      </c>
      <c r="L178" s="95">
        <f t="shared" si="32"/>
        <v>8.4290011481056251</v>
      </c>
      <c r="M178" s="132">
        <f t="shared" si="39"/>
        <v>15120</v>
      </c>
      <c r="N178" s="95">
        <f t="shared" si="35"/>
        <v>8.6796785304247983</v>
      </c>
    </row>
    <row r="179" spans="2:14" hidden="1" outlineLevel="1" x14ac:dyDescent="0.3">
      <c r="B179" s="32"/>
      <c r="C179" s="21" t="s">
        <v>45</v>
      </c>
      <c r="D179" s="95">
        <v>12049.02</v>
      </c>
      <c r="E179" s="95">
        <v>13253.92</v>
      </c>
      <c r="F179" s="95">
        <f t="shared" si="29"/>
        <v>13439.47488</v>
      </c>
      <c r="G179" s="95">
        <f t="shared" si="30"/>
        <v>13560.430153920001</v>
      </c>
      <c r="H179" s="95">
        <f t="shared" si="31"/>
        <v>7.784403073432836</v>
      </c>
      <c r="I179" s="95">
        <v>14140</v>
      </c>
      <c r="J179" s="95">
        <f t="shared" si="32"/>
        <v>8.1171067738231919</v>
      </c>
      <c r="K179" s="95">
        <v>14281.4</v>
      </c>
      <c r="L179" s="95">
        <f t="shared" si="32"/>
        <v>8.1982778415614241</v>
      </c>
      <c r="M179" s="132">
        <f t="shared" si="39"/>
        <v>15120</v>
      </c>
      <c r="N179" s="95">
        <f t="shared" si="35"/>
        <v>8.6796785304247983</v>
      </c>
    </row>
    <row r="180" spans="2:14" hidden="1" outlineLevel="1" x14ac:dyDescent="0.3">
      <c r="B180" s="32"/>
      <c r="C180" s="21" t="s">
        <v>46</v>
      </c>
      <c r="D180" s="95">
        <v>12049.02</v>
      </c>
      <c r="E180" s="95">
        <v>13253.92</v>
      </c>
      <c r="F180" s="95">
        <f t="shared" si="29"/>
        <v>13439.47488</v>
      </c>
      <c r="G180" s="95">
        <f t="shared" si="30"/>
        <v>13560.430153920001</v>
      </c>
      <c r="H180" s="95">
        <f t="shared" si="31"/>
        <v>7.784403073432836</v>
      </c>
      <c r="I180" s="95">
        <v>14140</v>
      </c>
      <c r="J180" s="95">
        <f t="shared" si="32"/>
        <v>8.1171067738231919</v>
      </c>
      <c r="K180" s="95">
        <v>14281.4</v>
      </c>
      <c r="L180" s="95">
        <f t="shared" si="32"/>
        <v>8.1982778415614241</v>
      </c>
      <c r="M180" s="132">
        <f t="shared" si="39"/>
        <v>15120</v>
      </c>
      <c r="N180" s="95">
        <f t="shared" si="35"/>
        <v>8.6796785304247983</v>
      </c>
    </row>
    <row r="181" spans="2:14" hidden="1" outlineLevel="1" x14ac:dyDescent="0.3">
      <c r="B181" s="31" t="s">
        <v>47</v>
      </c>
      <c r="C181" s="21" t="s">
        <v>48</v>
      </c>
      <c r="D181" s="95">
        <v>15853.97</v>
      </c>
      <c r="E181" s="95">
        <v>16492.900000000001</v>
      </c>
      <c r="F181" s="95">
        <f t="shared" si="29"/>
        <v>16723.800600000002</v>
      </c>
      <c r="G181" s="95">
        <f t="shared" si="30"/>
        <v>16874.314805400001</v>
      </c>
      <c r="H181" s="95">
        <f t="shared" si="31"/>
        <v>9.6867478791044785</v>
      </c>
      <c r="I181" s="95">
        <f t="shared" si="36"/>
        <v>16958.686379427003</v>
      </c>
      <c r="J181" s="95">
        <f t="shared" si="32"/>
        <v>9.7351816185000022</v>
      </c>
      <c r="K181" s="95">
        <f t="shared" si="33"/>
        <v>17128.273243221272</v>
      </c>
      <c r="L181" s="95">
        <f t="shared" si="32"/>
        <v>9.8325334346850006</v>
      </c>
      <c r="M181" s="95">
        <f t="shared" ref="M181" si="40">+K181</f>
        <v>17128.273243221272</v>
      </c>
      <c r="N181" s="95">
        <f t="shared" si="35"/>
        <v>9.8325334346850006</v>
      </c>
    </row>
    <row r="182" spans="2:14" hidden="1" outlineLevel="1" x14ac:dyDescent="0.3">
      <c r="B182" s="32"/>
      <c r="C182" s="21" t="s">
        <v>49</v>
      </c>
      <c r="D182" s="95">
        <v>13273.09</v>
      </c>
      <c r="E182" s="95">
        <v>13538.56</v>
      </c>
      <c r="F182" s="95">
        <f t="shared" si="29"/>
        <v>13728.099839999999</v>
      </c>
      <c r="G182" s="95">
        <f t="shared" si="30"/>
        <v>13851.652738559998</v>
      </c>
      <c r="H182" s="95">
        <f t="shared" si="31"/>
        <v>7.951580217313432</v>
      </c>
      <c r="I182" s="95">
        <v>14238.98</v>
      </c>
      <c r="J182" s="95">
        <f t="shared" si="32"/>
        <v>8.1739265212399541</v>
      </c>
      <c r="K182" s="95">
        <v>14381.37</v>
      </c>
      <c r="L182" s="95">
        <f t="shared" si="32"/>
        <v>8.2556659012629172</v>
      </c>
      <c r="M182" s="132">
        <f t="shared" ref="M182:M185" si="41">1080*14</f>
        <v>15120</v>
      </c>
      <c r="N182" s="95">
        <f t="shared" si="35"/>
        <v>8.6796785304247983</v>
      </c>
    </row>
    <row r="183" spans="2:14" hidden="1" outlineLevel="1" x14ac:dyDescent="0.3">
      <c r="B183" s="32"/>
      <c r="C183" s="21" t="s">
        <v>50</v>
      </c>
      <c r="D183" s="95">
        <v>10907.54</v>
      </c>
      <c r="E183" s="95">
        <v>13000</v>
      </c>
      <c r="F183" s="95">
        <f t="shared" si="29"/>
        <v>13182</v>
      </c>
      <c r="G183" s="95">
        <f t="shared" si="30"/>
        <v>13300.638000000001</v>
      </c>
      <c r="H183" s="95">
        <f t="shared" si="31"/>
        <v>7.6352686567164181</v>
      </c>
      <c r="I183" s="95">
        <v>14140</v>
      </c>
      <c r="J183" s="95">
        <f t="shared" si="32"/>
        <v>8.1171067738231919</v>
      </c>
      <c r="K183" s="95">
        <v>14281.4</v>
      </c>
      <c r="L183" s="95">
        <f t="shared" si="32"/>
        <v>8.1982778415614241</v>
      </c>
      <c r="M183" s="132">
        <f t="shared" si="41"/>
        <v>15120</v>
      </c>
      <c r="N183" s="95">
        <f t="shared" si="35"/>
        <v>8.6796785304247983</v>
      </c>
    </row>
    <row r="184" spans="2:14" hidden="1" outlineLevel="1" x14ac:dyDescent="0.3">
      <c r="B184" s="32"/>
      <c r="C184" s="21" t="s">
        <v>51</v>
      </c>
      <c r="D184" s="95">
        <v>10907.54</v>
      </c>
      <c r="E184" s="95">
        <v>13000</v>
      </c>
      <c r="F184" s="95">
        <f t="shared" si="29"/>
        <v>13182</v>
      </c>
      <c r="G184" s="95">
        <f t="shared" si="30"/>
        <v>13300.638000000001</v>
      </c>
      <c r="H184" s="95">
        <f t="shared" si="31"/>
        <v>7.6352686567164181</v>
      </c>
      <c r="I184" s="95">
        <v>14140</v>
      </c>
      <c r="J184" s="95">
        <f t="shared" si="32"/>
        <v>8.1171067738231919</v>
      </c>
      <c r="K184" s="95">
        <v>14281.4</v>
      </c>
      <c r="L184" s="95">
        <f t="shared" si="32"/>
        <v>8.1982778415614241</v>
      </c>
      <c r="M184" s="132">
        <f t="shared" si="41"/>
        <v>15120</v>
      </c>
      <c r="N184" s="95">
        <f t="shared" si="35"/>
        <v>8.6796785304247983</v>
      </c>
    </row>
    <row r="185" spans="2:14" hidden="1" outlineLevel="1" x14ac:dyDescent="0.3">
      <c r="B185" s="32"/>
      <c r="C185" s="21" t="s">
        <v>52</v>
      </c>
      <c r="D185" s="95">
        <v>10907.54</v>
      </c>
      <c r="E185" s="95">
        <v>13000</v>
      </c>
      <c r="F185" s="95">
        <f t="shared" si="29"/>
        <v>13182</v>
      </c>
      <c r="G185" s="95">
        <f t="shared" si="30"/>
        <v>13300.638000000001</v>
      </c>
      <c r="H185" s="95">
        <f t="shared" si="31"/>
        <v>7.6352686567164181</v>
      </c>
      <c r="I185" s="95">
        <v>14140</v>
      </c>
      <c r="J185" s="95">
        <f t="shared" si="32"/>
        <v>8.1171067738231919</v>
      </c>
      <c r="K185" s="95">
        <v>14281.4</v>
      </c>
      <c r="L185" s="95">
        <f t="shared" si="32"/>
        <v>8.1982778415614241</v>
      </c>
      <c r="M185" s="132">
        <f t="shared" si="41"/>
        <v>15120</v>
      </c>
      <c r="N185" s="95">
        <f t="shared" si="35"/>
        <v>8.6796785304247983</v>
      </c>
    </row>
    <row r="186" spans="2:14" hidden="1" outlineLevel="1" x14ac:dyDescent="0.3">
      <c r="B186" s="33"/>
      <c r="C186" s="21" t="s">
        <v>53</v>
      </c>
      <c r="D186" s="95">
        <v>10907.54</v>
      </c>
      <c r="E186" s="95">
        <v>13000</v>
      </c>
      <c r="F186" s="95">
        <f t="shared" si="29"/>
        <v>13182</v>
      </c>
      <c r="G186" s="95">
        <f t="shared" si="30"/>
        <v>13300.638000000001</v>
      </c>
      <c r="H186" s="95">
        <f t="shared" si="31"/>
        <v>7.6352686567164181</v>
      </c>
      <c r="I186" s="95">
        <v>14140</v>
      </c>
      <c r="J186" s="95">
        <f t="shared" si="32"/>
        <v>8.1171067738231919</v>
      </c>
      <c r="K186" s="95">
        <v>14281.4</v>
      </c>
      <c r="L186" s="95">
        <f t="shared" si="32"/>
        <v>8.1982778415614241</v>
      </c>
      <c r="M186" s="132">
        <f>1080*14</f>
        <v>15120</v>
      </c>
      <c r="N186" s="95">
        <f>+M186/$D$157</f>
        <v>8.6796785304247983</v>
      </c>
    </row>
    <row r="187" spans="2:14" hidden="1" outlineLevel="1" x14ac:dyDescent="0.3"/>
    <row r="188" spans="2:14" hidden="1" outlineLevel="1" x14ac:dyDescent="0.3"/>
    <row r="189" spans="2:14" hidden="1" outlineLevel="1" x14ac:dyDescent="0.3">
      <c r="B189" s="1" t="s">
        <v>159</v>
      </c>
    </row>
    <row r="190" spans="2:14" hidden="1" outlineLevel="1" x14ac:dyDescent="0.3">
      <c r="B190" s="1" t="s">
        <v>160</v>
      </c>
    </row>
    <row r="191" spans="2:14" hidden="1" outlineLevel="1" x14ac:dyDescent="0.3">
      <c r="B191" s="1" t="s">
        <v>161</v>
      </c>
    </row>
    <row r="192" spans="2:14" hidden="1" outlineLevel="1" x14ac:dyDescent="0.3">
      <c r="B192" s="1" t="s">
        <v>96</v>
      </c>
    </row>
    <row r="193" spans="2:13" hidden="1" outlineLevel="1" x14ac:dyDescent="0.3">
      <c r="B193" s="1" t="s">
        <v>101</v>
      </c>
    </row>
    <row r="194" spans="2:13" collapsed="1" x14ac:dyDescent="0.3"/>
    <row r="195" spans="2:13" ht="20.100000000000001" customHeight="1" x14ac:dyDescent="0.3">
      <c r="B195" s="7" t="s">
        <v>162</v>
      </c>
      <c r="C195" s="8"/>
      <c r="D195" s="9"/>
      <c r="E195" s="9"/>
      <c r="F195" s="9"/>
      <c r="G195" s="8"/>
      <c r="H195" s="8"/>
      <c r="I195" s="8"/>
      <c r="J195" s="8"/>
      <c r="K195" s="8"/>
      <c r="L195" s="8"/>
    </row>
    <row r="196" spans="2:13" hidden="1" outlineLevel="1" x14ac:dyDescent="0.3">
      <c r="D196" s="2" t="s">
        <v>163</v>
      </c>
      <c r="G196" s="133" t="s">
        <v>164</v>
      </c>
      <c r="I196" s="133" t="s">
        <v>165</v>
      </c>
      <c r="K196" s="133" t="s">
        <v>165</v>
      </c>
      <c r="M196" s="133" t="s">
        <v>165</v>
      </c>
    </row>
    <row r="197" spans="2:13" hidden="1" outlineLevel="1" x14ac:dyDescent="0.3">
      <c r="C197" s="71" t="s">
        <v>146</v>
      </c>
      <c r="D197" s="2">
        <v>38.5</v>
      </c>
      <c r="G197" s="2">
        <v>37.729999999999997</v>
      </c>
      <c r="I197" s="2">
        <v>37</v>
      </c>
      <c r="K197" s="2">
        <v>36.5</v>
      </c>
      <c r="M197" s="2">
        <v>33</v>
      </c>
    </row>
    <row r="198" spans="2:13" hidden="1" outlineLevel="1" x14ac:dyDescent="0.3">
      <c r="C198" s="71" t="s">
        <v>147</v>
      </c>
      <c r="D198" s="2">
        <v>1742</v>
      </c>
      <c r="G198" s="2">
        <v>1707.16</v>
      </c>
      <c r="I198" s="2">
        <v>1677.28</v>
      </c>
      <c r="K198" s="2">
        <v>1652.13</v>
      </c>
      <c r="M198" s="2">
        <v>1491.04</v>
      </c>
    </row>
    <row r="199" spans="2:13" hidden="1" outlineLevel="1" x14ac:dyDescent="0.3">
      <c r="F199" s="10">
        <v>0.06</v>
      </c>
      <c r="H199" s="10">
        <v>0.06</v>
      </c>
      <c r="J199" s="10">
        <v>0.04</v>
      </c>
      <c r="L199" s="10">
        <v>0.03</v>
      </c>
    </row>
    <row r="200" spans="2:13" ht="24" hidden="1" outlineLevel="1" x14ac:dyDescent="0.3">
      <c r="B200" s="12" t="s">
        <v>8</v>
      </c>
      <c r="C200" s="12" t="s">
        <v>9</v>
      </c>
      <c r="D200" s="129" t="s">
        <v>153</v>
      </c>
      <c r="F200" s="134" t="s">
        <v>166</v>
      </c>
      <c r="G200" s="134"/>
      <c r="H200" s="134" t="s">
        <v>167</v>
      </c>
      <c r="I200" s="134"/>
      <c r="J200" s="134" t="s">
        <v>168</v>
      </c>
      <c r="K200" s="134"/>
      <c r="L200" s="135" t="s">
        <v>169</v>
      </c>
      <c r="M200" s="136" t="s">
        <v>170</v>
      </c>
    </row>
    <row r="201" spans="2:13" hidden="1" outlineLevel="1" x14ac:dyDescent="0.3">
      <c r="B201" s="137" t="s">
        <v>154</v>
      </c>
      <c r="C201" s="21" t="s">
        <v>22</v>
      </c>
      <c r="D201" s="5">
        <v>21707.084222396115</v>
      </c>
      <c r="E201" s="5">
        <f>+D201/1742</f>
        <v>12.461012756828998</v>
      </c>
      <c r="F201" s="138">
        <v>23009.46</v>
      </c>
      <c r="G201" s="139">
        <f>+F201/$D$198</f>
        <v>13.208645235361653</v>
      </c>
      <c r="H201" s="140">
        <f t="shared" ref="H201:H209" si="42">+F201*(1+$H$199)</f>
        <v>24390.027600000001</v>
      </c>
      <c r="I201" s="139">
        <f>+H201/$D$198</f>
        <v>14.001163949483352</v>
      </c>
      <c r="J201" s="141">
        <f t="shared" ref="J201:J209" si="43">+H201*(1+$J$199)</f>
        <v>25365.628704000002</v>
      </c>
      <c r="K201" s="139">
        <f>+J201/$D$198</f>
        <v>14.561210507462688</v>
      </c>
      <c r="L201" s="96">
        <f t="shared" ref="L201:L209" si="44">+J201*(1+$L$199)</f>
        <v>26126.597565120002</v>
      </c>
      <c r="M201" s="142">
        <f>+L201/$D$198</f>
        <v>14.998046822686568</v>
      </c>
    </row>
    <row r="202" spans="2:13" hidden="1" outlineLevel="1" x14ac:dyDescent="0.3">
      <c r="B202" s="31" t="s">
        <v>23</v>
      </c>
      <c r="C202" s="21" t="s">
        <v>24</v>
      </c>
      <c r="D202" s="5">
        <v>19918.008462594647</v>
      </c>
      <c r="E202" s="5">
        <f t="shared" ref="E202:E229" si="45">+D202/1742</f>
        <v>11.433988784497501</v>
      </c>
      <c r="F202" s="96">
        <v>21113.1</v>
      </c>
      <c r="G202" s="142">
        <f t="shared" ref="G202:G229" si="46">+F202/$D$198</f>
        <v>12.120034443168771</v>
      </c>
      <c r="H202" s="143">
        <f t="shared" si="42"/>
        <v>22379.885999999999</v>
      </c>
      <c r="I202" s="139">
        <f t="shared" ref="I202:I229" si="47">+H202/$D$198</f>
        <v>12.847236509758897</v>
      </c>
      <c r="J202" s="95">
        <f t="shared" si="43"/>
        <v>23275.081439999998</v>
      </c>
      <c r="K202" s="139">
        <f t="shared" ref="K202:K229" si="48">+J202/$D$198</f>
        <v>13.361125970149253</v>
      </c>
      <c r="L202" s="95">
        <f t="shared" si="44"/>
        <v>23973.333883199997</v>
      </c>
      <c r="M202" s="142">
        <f>+L202/$D$198</f>
        <v>13.76195974925373</v>
      </c>
    </row>
    <row r="203" spans="2:13" hidden="1" outlineLevel="1" x14ac:dyDescent="0.3">
      <c r="B203" s="32"/>
      <c r="C203" s="21" t="s">
        <v>25</v>
      </c>
      <c r="D203" s="5">
        <v>19918.008462594647</v>
      </c>
      <c r="E203" s="5">
        <f t="shared" si="45"/>
        <v>11.433988784497501</v>
      </c>
      <c r="F203" s="96">
        <v>21113.1</v>
      </c>
      <c r="G203" s="142">
        <f t="shared" si="46"/>
        <v>12.120034443168771</v>
      </c>
      <c r="H203" s="143">
        <f t="shared" si="42"/>
        <v>22379.885999999999</v>
      </c>
      <c r="I203" s="139">
        <f t="shared" si="47"/>
        <v>12.847236509758897</v>
      </c>
      <c r="J203" s="95">
        <f>+H203*(1+$J$199)</f>
        <v>23275.081439999998</v>
      </c>
      <c r="K203" s="139">
        <f t="shared" si="48"/>
        <v>13.361125970149253</v>
      </c>
      <c r="L203" s="95">
        <f t="shared" si="44"/>
        <v>23973.333883199997</v>
      </c>
      <c r="M203" s="142">
        <f t="shared" ref="M203:M229" si="49">+L203/$D$198</f>
        <v>13.76195974925373</v>
      </c>
    </row>
    <row r="204" spans="2:13" hidden="1" outlineLevel="1" x14ac:dyDescent="0.3">
      <c r="B204" s="32"/>
      <c r="C204" s="21" t="s">
        <v>26</v>
      </c>
      <c r="D204" s="5">
        <v>19918.039618316034</v>
      </c>
      <c r="E204" s="5">
        <f t="shared" si="45"/>
        <v>11.434006669526999</v>
      </c>
      <c r="F204" s="96">
        <v>21113.1</v>
      </c>
      <c r="G204" s="142">
        <f t="shared" si="46"/>
        <v>12.120034443168771</v>
      </c>
      <c r="H204" s="143">
        <f t="shared" si="42"/>
        <v>22379.885999999999</v>
      </c>
      <c r="I204" s="139">
        <f t="shared" si="47"/>
        <v>12.847236509758897</v>
      </c>
      <c r="J204" s="95">
        <f t="shared" si="43"/>
        <v>23275.081439999998</v>
      </c>
      <c r="K204" s="139">
        <f t="shared" si="48"/>
        <v>13.361125970149253</v>
      </c>
      <c r="L204" s="95">
        <f t="shared" si="44"/>
        <v>23973.333883199997</v>
      </c>
      <c r="M204" s="142">
        <f t="shared" si="49"/>
        <v>13.76195974925373</v>
      </c>
    </row>
    <row r="205" spans="2:13" hidden="1" outlineLevel="1" x14ac:dyDescent="0.3">
      <c r="B205" s="32"/>
      <c r="C205" s="21" t="s">
        <v>27</v>
      </c>
      <c r="D205" s="5">
        <v>19918.039618316034</v>
      </c>
      <c r="E205" s="5">
        <f t="shared" si="45"/>
        <v>11.434006669526999</v>
      </c>
      <c r="F205" s="96">
        <v>21113.1</v>
      </c>
      <c r="G205" s="142">
        <f t="shared" si="46"/>
        <v>12.120034443168771</v>
      </c>
      <c r="H205" s="143">
        <f t="shared" si="42"/>
        <v>22379.885999999999</v>
      </c>
      <c r="I205" s="139">
        <f t="shared" si="47"/>
        <v>12.847236509758897</v>
      </c>
      <c r="J205" s="95">
        <f t="shared" si="43"/>
        <v>23275.081439999998</v>
      </c>
      <c r="K205" s="139">
        <f t="shared" si="48"/>
        <v>13.361125970149253</v>
      </c>
      <c r="L205" s="95">
        <f t="shared" si="44"/>
        <v>23973.333883199997</v>
      </c>
      <c r="M205" s="142">
        <f t="shared" si="49"/>
        <v>13.76195974925373</v>
      </c>
    </row>
    <row r="206" spans="2:13" hidden="1" outlineLevel="1" x14ac:dyDescent="0.3">
      <c r="B206" s="33"/>
      <c r="C206" s="21" t="s">
        <v>28</v>
      </c>
      <c r="D206" s="5">
        <v>19918.039618316034</v>
      </c>
      <c r="E206" s="5">
        <f t="shared" si="45"/>
        <v>11.434006669526999</v>
      </c>
      <c r="F206" s="96">
        <v>21113.1</v>
      </c>
      <c r="G206" s="142">
        <f t="shared" si="46"/>
        <v>12.120034443168771</v>
      </c>
      <c r="H206" s="143">
        <f t="shared" si="42"/>
        <v>22379.885999999999</v>
      </c>
      <c r="I206" s="139">
        <f t="shared" si="47"/>
        <v>12.847236509758897</v>
      </c>
      <c r="J206" s="95">
        <f t="shared" si="43"/>
        <v>23275.081439999998</v>
      </c>
      <c r="K206" s="139">
        <f t="shared" si="48"/>
        <v>13.361125970149253</v>
      </c>
      <c r="L206" s="95">
        <f t="shared" si="44"/>
        <v>23973.333883199997</v>
      </c>
      <c r="M206" s="142">
        <f t="shared" si="49"/>
        <v>13.76195974925373</v>
      </c>
    </row>
    <row r="207" spans="2:13" hidden="1" outlineLevel="1" x14ac:dyDescent="0.3">
      <c r="B207" s="31" t="s">
        <v>29</v>
      </c>
      <c r="C207" s="21" t="s">
        <v>30</v>
      </c>
      <c r="D207" s="5">
        <v>19178.101620567748</v>
      </c>
      <c r="E207" s="5">
        <f t="shared" si="45"/>
        <v>11.009243180578501</v>
      </c>
      <c r="F207" s="96">
        <v>20328.75</v>
      </c>
      <c r="G207" s="142">
        <f t="shared" si="46"/>
        <v>11.669776119402986</v>
      </c>
      <c r="H207" s="143">
        <f t="shared" si="42"/>
        <v>21548.475000000002</v>
      </c>
      <c r="I207" s="139">
        <f t="shared" si="47"/>
        <v>12.369962686567165</v>
      </c>
      <c r="J207" s="95">
        <f t="shared" si="43"/>
        <v>22410.414000000004</v>
      </c>
      <c r="K207" s="139">
        <f t="shared" si="48"/>
        <v>12.864761194029853</v>
      </c>
      <c r="L207" s="95">
        <f t="shared" si="44"/>
        <v>23082.726420000006</v>
      </c>
      <c r="M207" s="142">
        <f t="shared" si="49"/>
        <v>13.25070402985075</v>
      </c>
    </row>
    <row r="208" spans="2:13" hidden="1" outlineLevel="1" x14ac:dyDescent="0.3">
      <c r="B208" s="32"/>
      <c r="C208" s="21" t="s">
        <v>31</v>
      </c>
      <c r="D208" s="5">
        <v>18440.500301923636</v>
      </c>
      <c r="E208" s="5">
        <f t="shared" si="45"/>
        <v>10.585821068842501</v>
      </c>
      <c r="F208" s="96">
        <v>19546.849999999999</v>
      </c>
      <c r="G208" s="142">
        <f t="shared" si="46"/>
        <v>11.220924225028702</v>
      </c>
      <c r="H208" s="143">
        <f t="shared" si="42"/>
        <v>20719.661</v>
      </c>
      <c r="I208" s="139">
        <f t="shared" si="47"/>
        <v>11.894179678530424</v>
      </c>
      <c r="J208" s="95">
        <f t="shared" si="43"/>
        <v>21548.44744</v>
      </c>
      <c r="K208" s="139">
        <f t="shared" si="48"/>
        <v>12.369946865671642</v>
      </c>
      <c r="L208" s="95">
        <f t="shared" si="44"/>
        <v>22194.9008632</v>
      </c>
      <c r="M208" s="142">
        <f>+L208/$D$198</f>
        <v>12.741045271641791</v>
      </c>
    </row>
    <row r="209" spans="2:13" hidden="1" outlineLevel="1" x14ac:dyDescent="0.3">
      <c r="B209" s="32"/>
      <c r="C209" s="21" t="s">
        <v>32</v>
      </c>
      <c r="D209" s="5">
        <v>18440.500301923636</v>
      </c>
      <c r="E209" s="5">
        <f t="shared" si="45"/>
        <v>10.585821068842501</v>
      </c>
      <c r="F209" s="96">
        <v>19546.849999999999</v>
      </c>
      <c r="G209" s="142">
        <f t="shared" si="46"/>
        <v>11.220924225028702</v>
      </c>
      <c r="H209" s="143">
        <f t="shared" si="42"/>
        <v>20719.661</v>
      </c>
      <c r="I209" s="139">
        <f t="shared" si="47"/>
        <v>11.894179678530424</v>
      </c>
      <c r="J209" s="95">
        <f t="shared" si="43"/>
        <v>21548.44744</v>
      </c>
      <c r="K209" s="139">
        <f t="shared" si="48"/>
        <v>12.369946865671642</v>
      </c>
      <c r="L209" s="95">
        <f t="shared" si="44"/>
        <v>22194.9008632</v>
      </c>
      <c r="M209" s="142">
        <f t="shared" si="49"/>
        <v>12.741045271641791</v>
      </c>
    </row>
    <row r="210" spans="2:13" hidden="1" outlineLevel="1" x14ac:dyDescent="0.3">
      <c r="B210" s="32"/>
      <c r="C210" s="21" t="s">
        <v>155</v>
      </c>
      <c r="D210" s="5">
        <v>17334.056782995613</v>
      </c>
      <c r="E210" s="5">
        <f t="shared" si="45"/>
        <v>9.9506640545324991</v>
      </c>
      <c r="F210" s="144">
        <v>17854.05</v>
      </c>
      <c r="G210" s="142">
        <f>+F210/G$198</f>
        <v>10.458334309613626</v>
      </c>
      <c r="H210" s="145">
        <v>18389.669999999998</v>
      </c>
      <c r="I210" s="142">
        <f>H210/I198</f>
        <v>10.963983354001716</v>
      </c>
      <c r="J210" s="146">
        <f>+H210</f>
        <v>18389.669999999998</v>
      </c>
      <c r="K210" s="142">
        <f>J210/K198</f>
        <v>11.130885584064206</v>
      </c>
      <c r="L210" s="146">
        <f>+J210</f>
        <v>18389.669999999998</v>
      </c>
      <c r="M210" s="142">
        <v>12.32</v>
      </c>
    </row>
    <row r="211" spans="2:13" hidden="1" outlineLevel="1" x14ac:dyDescent="0.3">
      <c r="B211" s="32"/>
      <c r="C211" s="21"/>
      <c r="D211" s="5"/>
      <c r="E211" s="5"/>
      <c r="F211" s="144"/>
      <c r="G211" s="147">
        <f>+G210/E210-1</f>
        <v>5.1018731242352011E-2</v>
      </c>
      <c r="H211" s="148"/>
      <c r="I211" s="147">
        <f>+I210/G210-1</f>
        <v>4.8348908097466392E-2</v>
      </c>
      <c r="J211" s="149"/>
      <c r="K211" s="147">
        <f>+K210/I210-1</f>
        <v>1.5222773026335679E-2</v>
      </c>
      <c r="L211" s="149"/>
      <c r="M211" s="147">
        <f>+M210/K210-1</f>
        <v>0.10683017150389351</v>
      </c>
    </row>
    <row r="212" spans="2:13" hidden="1" outlineLevel="1" x14ac:dyDescent="0.3">
      <c r="B212" s="32"/>
      <c r="C212" s="21" t="s">
        <v>34</v>
      </c>
      <c r="D212" s="5">
        <v>17334.056782995613</v>
      </c>
      <c r="E212" s="5">
        <f t="shared" si="45"/>
        <v>9.9506640545324991</v>
      </c>
      <c r="F212" s="96">
        <v>18374.07</v>
      </c>
      <c r="G212" s="142">
        <f t="shared" si="46"/>
        <v>10.547686567164179</v>
      </c>
      <c r="H212" s="143">
        <f t="shared" ref="H212:H229" si="50">+F212*(1+$H$199)</f>
        <v>19476.514200000001</v>
      </c>
      <c r="I212" s="139">
        <f t="shared" si="47"/>
        <v>11.180547761194031</v>
      </c>
      <c r="J212" s="95">
        <f t="shared" ref="J212:J229" si="51">+H212*(1+$J$199)</f>
        <v>20255.574768000002</v>
      </c>
      <c r="K212" s="139">
        <f t="shared" si="48"/>
        <v>11.627769671641792</v>
      </c>
      <c r="L212" s="95">
        <f t="shared" ref="L212:L229" si="52">+J212*(1+$L$199)</f>
        <v>20863.242011040002</v>
      </c>
      <c r="M212" s="142">
        <f t="shared" si="49"/>
        <v>11.976602761791046</v>
      </c>
    </row>
    <row r="213" spans="2:13" hidden="1" outlineLevel="1" x14ac:dyDescent="0.3">
      <c r="B213" s="32"/>
      <c r="C213" s="21" t="s">
        <v>35</v>
      </c>
      <c r="D213" s="5">
        <v>15490.011945423483</v>
      </c>
      <c r="E213" s="5">
        <f t="shared" si="45"/>
        <v>8.8920849284865007</v>
      </c>
      <c r="F213" s="96">
        <v>16419.419999999998</v>
      </c>
      <c r="G213" s="142">
        <f t="shared" si="46"/>
        <v>9.425614236509757</v>
      </c>
      <c r="H213" s="143">
        <f t="shared" si="50"/>
        <v>17404.585199999998</v>
      </c>
      <c r="I213" s="139">
        <f t="shared" si="47"/>
        <v>9.9911510907003436</v>
      </c>
      <c r="J213" s="95">
        <f t="shared" si="51"/>
        <v>18100.768607999998</v>
      </c>
      <c r="K213" s="139">
        <f t="shared" si="48"/>
        <v>10.390797134328357</v>
      </c>
      <c r="L213" s="95">
        <f t="shared" si="52"/>
        <v>18643.791666239998</v>
      </c>
      <c r="M213" s="142">
        <f t="shared" si="49"/>
        <v>10.702521048358209</v>
      </c>
    </row>
    <row r="214" spans="2:13" hidden="1" outlineLevel="1" x14ac:dyDescent="0.3">
      <c r="B214" s="32"/>
      <c r="C214" s="21" t="s">
        <v>156</v>
      </c>
      <c r="D214" s="5">
        <v>17426.419999999998</v>
      </c>
      <c r="E214" s="5">
        <f t="shared" si="45"/>
        <v>10.003685419058552</v>
      </c>
      <c r="F214" s="96">
        <v>18472.009999999998</v>
      </c>
      <c r="G214" s="142">
        <f t="shared" si="46"/>
        <v>10.603909299655568</v>
      </c>
      <c r="H214" s="143">
        <f t="shared" si="50"/>
        <v>19580.330599999998</v>
      </c>
      <c r="I214" s="139">
        <f t="shared" si="47"/>
        <v>11.240143857634902</v>
      </c>
      <c r="J214" s="95">
        <f t="shared" si="51"/>
        <v>20363.543823999997</v>
      </c>
      <c r="K214" s="139">
        <f t="shared" si="48"/>
        <v>11.689749611940297</v>
      </c>
      <c r="L214" s="95">
        <f t="shared" si="52"/>
        <v>20974.450138719996</v>
      </c>
      <c r="M214" s="142">
        <f t="shared" si="49"/>
        <v>12.040442100298506</v>
      </c>
    </row>
    <row r="215" spans="2:13" hidden="1" outlineLevel="1" x14ac:dyDescent="0.3">
      <c r="B215" s="32"/>
      <c r="C215" s="21" t="s">
        <v>157</v>
      </c>
      <c r="D215" s="5">
        <v>14581.31</v>
      </c>
      <c r="E215" s="5">
        <f t="shared" si="45"/>
        <v>8.3704420206659016</v>
      </c>
      <c r="F215" s="150">
        <v>15456.19</v>
      </c>
      <c r="G215" s="142">
        <f t="shared" si="46"/>
        <v>8.8726693455797943</v>
      </c>
      <c r="H215" s="151">
        <f t="shared" si="50"/>
        <v>16383.561400000001</v>
      </c>
      <c r="I215" s="139">
        <f t="shared" si="47"/>
        <v>9.4050295063145803</v>
      </c>
      <c r="J215" s="95">
        <f t="shared" si="51"/>
        <v>17038.903856000001</v>
      </c>
      <c r="K215" s="139">
        <f t="shared" si="48"/>
        <v>9.7812306865671648</v>
      </c>
      <c r="L215" s="95">
        <f t="shared" si="52"/>
        <v>17550.070971680001</v>
      </c>
      <c r="M215" s="142">
        <f t="shared" si="49"/>
        <v>10.07466760716418</v>
      </c>
    </row>
    <row r="216" spans="2:13" hidden="1" outlineLevel="1" x14ac:dyDescent="0.3">
      <c r="B216" s="33"/>
      <c r="C216" s="21" t="s">
        <v>158</v>
      </c>
      <c r="D216" s="5">
        <v>14376.27</v>
      </c>
      <c r="E216" s="5">
        <f t="shared" si="45"/>
        <v>8.2527382319173359</v>
      </c>
      <c r="F216" s="150">
        <v>15238.85</v>
      </c>
      <c r="G216" s="142">
        <f t="shared" si="46"/>
        <v>8.7479047072330651</v>
      </c>
      <c r="H216" s="151">
        <f t="shared" si="50"/>
        <v>16153.181</v>
      </c>
      <c r="I216" s="139">
        <f t="shared" si="47"/>
        <v>9.2727789896670494</v>
      </c>
      <c r="J216" s="95">
        <f t="shared" si="51"/>
        <v>16799.308240000002</v>
      </c>
      <c r="K216" s="139">
        <f t="shared" si="48"/>
        <v>9.6436901492537324</v>
      </c>
      <c r="L216" s="95">
        <f t="shared" si="52"/>
        <v>17303.287487200003</v>
      </c>
      <c r="M216" s="142">
        <f t="shared" si="49"/>
        <v>9.933000853731345</v>
      </c>
    </row>
    <row r="217" spans="2:13" hidden="1" outlineLevel="1" x14ac:dyDescent="0.3">
      <c r="B217" s="31" t="s">
        <v>39</v>
      </c>
      <c r="C217" s="21" t="s">
        <v>40</v>
      </c>
      <c r="D217" s="5">
        <v>17702.878212798591</v>
      </c>
      <c r="E217" s="5">
        <f t="shared" si="45"/>
        <v>10.162387033753497</v>
      </c>
      <c r="F217" s="96">
        <v>18765.13</v>
      </c>
      <c r="G217" s="142">
        <f t="shared" si="46"/>
        <v>10.772175660160736</v>
      </c>
      <c r="H217" s="143">
        <f t="shared" si="50"/>
        <v>19891.037800000002</v>
      </c>
      <c r="I217" s="139">
        <f t="shared" si="47"/>
        <v>11.418506199770381</v>
      </c>
      <c r="J217" s="95">
        <f t="shared" si="51"/>
        <v>20686.679312000004</v>
      </c>
      <c r="K217" s="139">
        <f t="shared" si="48"/>
        <v>11.875246447761196</v>
      </c>
      <c r="L217" s="95">
        <f t="shared" si="52"/>
        <v>21307.279691360003</v>
      </c>
      <c r="M217" s="142">
        <f t="shared" si="49"/>
        <v>12.231503841194032</v>
      </c>
    </row>
    <row r="218" spans="2:13" hidden="1" outlineLevel="1" x14ac:dyDescent="0.3">
      <c r="B218" s="32"/>
      <c r="C218" s="21" t="s">
        <v>171</v>
      </c>
      <c r="D218" s="5"/>
      <c r="E218" s="5"/>
      <c r="F218" s="150">
        <v>15564.32</v>
      </c>
      <c r="G218" s="142">
        <f t="shared" si="46"/>
        <v>8.9347416762342142</v>
      </c>
      <c r="H218" s="151">
        <f t="shared" si="50"/>
        <v>16498.179200000002</v>
      </c>
      <c r="I218" s="139">
        <f t="shared" si="47"/>
        <v>9.4708261768082682</v>
      </c>
      <c r="J218" s="95">
        <f t="shared" si="51"/>
        <v>17158.106368000004</v>
      </c>
      <c r="K218" s="139">
        <f t="shared" si="48"/>
        <v>9.8496592238806002</v>
      </c>
      <c r="L218" s="95">
        <f t="shared" si="52"/>
        <v>17672.849559040005</v>
      </c>
      <c r="M218" s="142">
        <f t="shared" si="49"/>
        <v>10.145149000597018</v>
      </c>
    </row>
    <row r="219" spans="2:13" hidden="1" outlineLevel="1" x14ac:dyDescent="0.3">
      <c r="B219" s="32"/>
      <c r="C219" s="21" t="s">
        <v>41</v>
      </c>
      <c r="D219" s="5">
        <v>15490.011945423483</v>
      </c>
      <c r="E219" s="5">
        <f t="shared" si="45"/>
        <v>8.8920849284865007</v>
      </c>
      <c r="F219" s="96">
        <v>16419.41</v>
      </c>
      <c r="G219" s="142">
        <f t="shared" si="46"/>
        <v>9.4256084959816295</v>
      </c>
      <c r="H219" s="143">
        <f t="shared" si="50"/>
        <v>17404.5746</v>
      </c>
      <c r="I219" s="139">
        <f t="shared" si="47"/>
        <v>9.9911450057405276</v>
      </c>
      <c r="J219" s="95">
        <f t="shared" si="51"/>
        <v>18100.757583999999</v>
      </c>
      <c r="K219" s="139">
        <f t="shared" si="48"/>
        <v>10.390790805970148</v>
      </c>
      <c r="L219" s="95">
        <f t="shared" si="52"/>
        <v>18643.78031152</v>
      </c>
      <c r="M219" s="142">
        <f t="shared" si="49"/>
        <v>10.702514530149253</v>
      </c>
    </row>
    <row r="220" spans="2:13" hidden="1" outlineLevel="1" x14ac:dyDescent="0.3">
      <c r="B220" s="31" t="s">
        <v>42</v>
      </c>
      <c r="C220" s="21" t="s">
        <v>43</v>
      </c>
      <c r="D220" s="5">
        <v>14683.32</v>
      </c>
      <c r="E220" s="5">
        <f t="shared" si="45"/>
        <v>8.4290011481056251</v>
      </c>
      <c r="F220" s="150">
        <v>15564.32</v>
      </c>
      <c r="G220" s="142">
        <f t="shared" si="46"/>
        <v>8.9347416762342142</v>
      </c>
      <c r="H220" s="151">
        <f t="shared" si="50"/>
        <v>16498.179200000002</v>
      </c>
      <c r="I220" s="139">
        <f t="shared" si="47"/>
        <v>9.4708261768082682</v>
      </c>
      <c r="J220" s="95">
        <f t="shared" si="51"/>
        <v>17158.106368000004</v>
      </c>
      <c r="K220" s="139">
        <f t="shared" si="48"/>
        <v>9.8496592238806002</v>
      </c>
      <c r="L220" s="95">
        <f t="shared" si="52"/>
        <v>17672.849559040005</v>
      </c>
      <c r="M220" s="142">
        <f t="shared" si="49"/>
        <v>10.145149000597018</v>
      </c>
    </row>
    <row r="221" spans="2:13" hidden="1" outlineLevel="1" x14ac:dyDescent="0.3">
      <c r="B221" s="32"/>
      <c r="C221" s="21" t="s">
        <v>44</v>
      </c>
      <c r="D221" s="5">
        <v>14683.32</v>
      </c>
      <c r="E221" s="5">
        <f t="shared" si="45"/>
        <v>8.4290011481056251</v>
      </c>
      <c r="F221" s="150">
        <v>15564.32</v>
      </c>
      <c r="G221" s="142">
        <f t="shared" si="46"/>
        <v>8.9347416762342142</v>
      </c>
      <c r="H221" s="151">
        <f t="shared" si="50"/>
        <v>16498.179200000002</v>
      </c>
      <c r="I221" s="139">
        <f t="shared" si="47"/>
        <v>9.4708261768082682</v>
      </c>
      <c r="J221" s="95">
        <f t="shared" si="51"/>
        <v>17158.106368000004</v>
      </c>
      <c r="K221" s="139">
        <f t="shared" si="48"/>
        <v>9.8496592238806002</v>
      </c>
      <c r="L221" s="95">
        <f t="shared" si="52"/>
        <v>17672.849559040005</v>
      </c>
      <c r="M221" s="142">
        <f t="shared" si="49"/>
        <v>10.145149000597018</v>
      </c>
    </row>
    <row r="222" spans="2:13" hidden="1" outlineLevel="1" x14ac:dyDescent="0.3">
      <c r="B222" s="32"/>
      <c r="C222" s="21" t="s">
        <v>45</v>
      </c>
      <c r="D222" s="5">
        <v>14281.4</v>
      </c>
      <c r="E222" s="5">
        <f t="shared" si="45"/>
        <v>8.1982778415614241</v>
      </c>
      <c r="F222" s="150">
        <v>15138.28</v>
      </c>
      <c r="G222" s="142">
        <f t="shared" si="46"/>
        <v>8.6901722158438588</v>
      </c>
      <c r="H222" s="151">
        <f t="shared" si="50"/>
        <v>16046.576800000001</v>
      </c>
      <c r="I222" s="139">
        <f t="shared" si="47"/>
        <v>9.2115825487944889</v>
      </c>
      <c r="J222" s="95">
        <f t="shared" si="51"/>
        <v>16688.439872000003</v>
      </c>
      <c r="K222" s="139">
        <f t="shared" si="48"/>
        <v>9.58004585074627</v>
      </c>
      <c r="L222" s="95">
        <f t="shared" si="52"/>
        <v>17189.093068160004</v>
      </c>
      <c r="M222" s="142">
        <f t="shared" si="49"/>
        <v>9.8674472262686592</v>
      </c>
    </row>
    <row r="223" spans="2:13" hidden="1" outlineLevel="1" x14ac:dyDescent="0.3">
      <c r="B223" s="32"/>
      <c r="C223" s="21" t="s">
        <v>46</v>
      </c>
      <c r="D223" s="5">
        <v>14281.4</v>
      </c>
      <c r="E223" s="5">
        <f t="shared" si="45"/>
        <v>8.1982778415614241</v>
      </c>
      <c r="F223" s="150">
        <v>15138.28</v>
      </c>
      <c r="G223" s="142">
        <f t="shared" si="46"/>
        <v>8.6901722158438588</v>
      </c>
      <c r="H223" s="151">
        <f t="shared" si="50"/>
        <v>16046.576800000001</v>
      </c>
      <c r="I223" s="139">
        <f t="shared" si="47"/>
        <v>9.2115825487944889</v>
      </c>
      <c r="J223" s="95">
        <f t="shared" si="51"/>
        <v>16688.439872000003</v>
      </c>
      <c r="K223" s="139">
        <f t="shared" si="48"/>
        <v>9.58004585074627</v>
      </c>
      <c r="L223" s="95">
        <f t="shared" si="52"/>
        <v>17189.093068160004</v>
      </c>
      <c r="M223" s="142">
        <f t="shared" si="49"/>
        <v>9.8674472262686592</v>
      </c>
    </row>
    <row r="224" spans="2:13" hidden="1" outlineLevel="1" x14ac:dyDescent="0.3">
      <c r="B224" s="31" t="s">
        <v>47</v>
      </c>
      <c r="C224" s="21" t="s">
        <v>48</v>
      </c>
      <c r="D224" s="5">
        <v>17128.273243221272</v>
      </c>
      <c r="E224" s="5">
        <f t="shared" si="45"/>
        <v>9.8325334346850006</v>
      </c>
      <c r="F224" s="96">
        <v>18155.900000000001</v>
      </c>
      <c r="G224" s="142">
        <f t="shared" si="46"/>
        <v>10.422445464982779</v>
      </c>
      <c r="H224" s="143">
        <f t="shared" si="50"/>
        <v>19245.254000000001</v>
      </c>
      <c r="I224" s="139">
        <f t="shared" si="47"/>
        <v>11.047792192881746</v>
      </c>
      <c r="J224" s="95">
        <f t="shared" si="51"/>
        <v>20015.064160000002</v>
      </c>
      <c r="K224" s="139">
        <f t="shared" si="48"/>
        <v>11.489703880597016</v>
      </c>
      <c r="L224" s="95">
        <f t="shared" si="52"/>
        <v>20615.516084800001</v>
      </c>
      <c r="M224" s="142">
        <f t="shared" si="49"/>
        <v>11.834394997014925</v>
      </c>
    </row>
    <row r="225" spans="2:13" hidden="1" outlineLevel="1" x14ac:dyDescent="0.3">
      <c r="B225" s="32"/>
      <c r="C225" s="21" t="s">
        <v>49</v>
      </c>
      <c r="D225" s="5">
        <v>14381.37</v>
      </c>
      <c r="E225" s="5">
        <f t="shared" si="45"/>
        <v>8.2556659012629172</v>
      </c>
      <c r="F225" s="150">
        <v>15244.25</v>
      </c>
      <c r="G225" s="142">
        <f t="shared" si="46"/>
        <v>8.7510045924225022</v>
      </c>
      <c r="H225" s="151">
        <f t="shared" si="50"/>
        <v>16158.905000000001</v>
      </c>
      <c r="I225" s="139">
        <f t="shared" si="47"/>
        <v>9.2760648679678539</v>
      </c>
      <c r="J225" s="95">
        <f t="shared" si="51"/>
        <v>16805.261200000001</v>
      </c>
      <c r="K225" s="139">
        <f t="shared" si="48"/>
        <v>9.6471074626865683</v>
      </c>
      <c r="L225" s="95">
        <f t="shared" si="52"/>
        <v>17309.419036000003</v>
      </c>
      <c r="M225" s="142">
        <f t="shared" si="49"/>
        <v>9.9365206865671656</v>
      </c>
    </row>
    <row r="226" spans="2:13" hidden="1" outlineLevel="1" x14ac:dyDescent="0.3">
      <c r="B226" s="32"/>
      <c r="C226" s="21" t="s">
        <v>50</v>
      </c>
      <c r="D226" s="5">
        <v>14281.4</v>
      </c>
      <c r="E226" s="5">
        <f t="shared" si="45"/>
        <v>8.1982778415614241</v>
      </c>
      <c r="F226" s="150">
        <v>15138.28</v>
      </c>
      <c r="G226" s="142">
        <f t="shared" si="46"/>
        <v>8.6901722158438588</v>
      </c>
      <c r="H226" s="151">
        <f t="shared" si="50"/>
        <v>16046.576800000001</v>
      </c>
      <c r="I226" s="139">
        <f t="shared" si="47"/>
        <v>9.2115825487944889</v>
      </c>
      <c r="J226" s="95">
        <f t="shared" si="51"/>
        <v>16688.439872000003</v>
      </c>
      <c r="K226" s="139">
        <f t="shared" si="48"/>
        <v>9.58004585074627</v>
      </c>
      <c r="L226" s="95">
        <f t="shared" si="52"/>
        <v>17189.093068160004</v>
      </c>
      <c r="M226" s="142">
        <f t="shared" si="49"/>
        <v>9.8674472262686592</v>
      </c>
    </row>
    <row r="227" spans="2:13" hidden="1" outlineLevel="1" x14ac:dyDescent="0.3">
      <c r="B227" s="32"/>
      <c r="C227" s="21" t="s">
        <v>51</v>
      </c>
      <c r="D227" s="5">
        <v>14281.4</v>
      </c>
      <c r="E227" s="5">
        <f t="shared" si="45"/>
        <v>8.1982778415614241</v>
      </c>
      <c r="F227" s="150">
        <v>15138.28</v>
      </c>
      <c r="G227" s="142">
        <f t="shared" si="46"/>
        <v>8.6901722158438588</v>
      </c>
      <c r="H227" s="151">
        <f t="shared" si="50"/>
        <v>16046.576800000001</v>
      </c>
      <c r="I227" s="139">
        <f t="shared" si="47"/>
        <v>9.2115825487944889</v>
      </c>
      <c r="J227" s="95">
        <f t="shared" si="51"/>
        <v>16688.439872000003</v>
      </c>
      <c r="K227" s="139">
        <f t="shared" si="48"/>
        <v>9.58004585074627</v>
      </c>
      <c r="L227" s="95">
        <f t="shared" si="52"/>
        <v>17189.093068160004</v>
      </c>
      <c r="M227" s="142">
        <f t="shared" si="49"/>
        <v>9.8674472262686592</v>
      </c>
    </row>
    <row r="228" spans="2:13" hidden="1" outlineLevel="1" x14ac:dyDescent="0.3">
      <c r="B228" s="32"/>
      <c r="C228" s="21" t="s">
        <v>52</v>
      </c>
      <c r="D228" s="5">
        <v>14281.4</v>
      </c>
      <c r="E228" s="5">
        <f t="shared" si="45"/>
        <v>8.1982778415614241</v>
      </c>
      <c r="F228" s="150">
        <v>15138.28</v>
      </c>
      <c r="G228" s="142">
        <f t="shared" si="46"/>
        <v>8.6901722158438588</v>
      </c>
      <c r="H228" s="151">
        <f t="shared" si="50"/>
        <v>16046.576800000001</v>
      </c>
      <c r="I228" s="139">
        <f t="shared" si="47"/>
        <v>9.2115825487944889</v>
      </c>
      <c r="J228" s="95">
        <f t="shared" si="51"/>
        <v>16688.439872000003</v>
      </c>
      <c r="K228" s="139">
        <f t="shared" si="48"/>
        <v>9.58004585074627</v>
      </c>
      <c r="L228" s="95">
        <f t="shared" si="52"/>
        <v>17189.093068160004</v>
      </c>
      <c r="M228" s="142">
        <f t="shared" si="49"/>
        <v>9.8674472262686592</v>
      </c>
    </row>
    <row r="229" spans="2:13" hidden="1" outlineLevel="1" x14ac:dyDescent="0.3">
      <c r="B229" s="33"/>
      <c r="C229" s="21" t="s">
        <v>53</v>
      </c>
      <c r="D229" s="5">
        <v>14281.4</v>
      </c>
      <c r="E229" s="5">
        <f t="shared" si="45"/>
        <v>8.1982778415614241</v>
      </c>
      <c r="F229" s="150">
        <v>15138.28</v>
      </c>
      <c r="G229" s="142">
        <f t="shared" si="46"/>
        <v>8.6901722158438588</v>
      </c>
      <c r="H229" s="151">
        <f t="shared" si="50"/>
        <v>16046.576800000001</v>
      </c>
      <c r="I229" s="139">
        <f t="shared" si="47"/>
        <v>9.2115825487944889</v>
      </c>
      <c r="J229" s="95">
        <f t="shared" si="51"/>
        <v>16688.439872000003</v>
      </c>
      <c r="K229" s="139">
        <f t="shared" si="48"/>
        <v>9.58004585074627</v>
      </c>
      <c r="L229" s="95">
        <f t="shared" si="52"/>
        <v>17189.093068160004</v>
      </c>
      <c r="M229" s="142">
        <f t="shared" si="49"/>
        <v>9.8674472262686592</v>
      </c>
    </row>
    <row r="230" spans="2:13" hidden="1" outlineLevel="1" x14ac:dyDescent="0.3">
      <c r="F230" s="88" t="s">
        <v>172</v>
      </c>
      <c r="H230" s="88" t="s">
        <v>173</v>
      </c>
    </row>
    <row r="231" spans="2:13" hidden="1" outlineLevel="1" x14ac:dyDescent="0.3"/>
    <row r="232" spans="2:13" hidden="1" outlineLevel="1" x14ac:dyDescent="0.3"/>
    <row r="233" spans="2:13" hidden="1" outlineLevel="1" x14ac:dyDescent="0.3"/>
    <row r="234" spans="2:13" hidden="1" outlineLevel="1" x14ac:dyDescent="0.3"/>
    <row r="235" spans="2:13" hidden="1" outlineLevel="1" x14ac:dyDescent="0.3"/>
    <row r="236" spans="2:13" hidden="1" outlineLevel="1" x14ac:dyDescent="0.3"/>
    <row r="237" spans="2:13" collapsed="1" x14ac:dyDescent="0.3"/>
    <row r="238" spans="2:13" ht="20.100000000000001" customHeight="1" x14ac:dyDescent="0.3">
      <c r="B238" s="126" t="s">
        <v>174</v>
      </c>
      <c r="C238" s="127"/>
      <c r="D238" s="128"/>
      <c r="E238" s="128"/>
      <c r="F238" s="128"/>
      <c r="G238" s="127"/>
      <c r="H238" s="127"/>
      <c r="I238" s="127"/>
      <c r="J238" s="127"/>
      <c r="K238" s="127"/>
      <c r="L238" s="127"/>
    </row>
    <row r="239" spans="2:13" hidden="1" outlineLevel="1" x14ac:dyDescent="0.3">
      <c r="B239" s="1" t="s">
        <v>175</v>
      </c>
      <c r="D239" s="1"/>
      <c r="E239" s="1"/>
      <c r="F239" s="1"/>
    </row>
    <row r="240" spans="2:13" hidden="1" outlineLevel="1" x14ac:dyDescent="0.3">
      <c r="B240" s="1" t="s">
        <v>176</v>
      </c>
      <c r="D240" s="1"/>
      <c r="E240" s="1"/>
      <c r="F240" s="10"/>
    </row>
    <row r="241" spans="2:16" hidden="1" outlineLevel="1" x14ac:dyDescent="0.3">
      <c r="C241" s="71" t="s">
        <v>146</v>
      </c>
      <c r="D241" s="2">
        <v>38.5</v>
      </c>
      <c r="E241" s="1"/>
      <c r="F241" s="10"/>
      <c r="G241" s="108"/>
      <c r="I241" s="108"/>
    </row>
    <row r="242" spans="2:16" hidden="1" outlineLevel="1" x14ac:dyDescent="0.3">
      <c r="C242" s="71" t="s">
        <v>147</v>
      </c>
      <c r="D242" s="2">
        <v>1742</v>
      </c>
      <c r="E242" s="30" t="s">
        <v>177</v>
      </c>
      <c r="F242" s="10"/>
      <c r="G242" s="10" t="s">
        <v>177</v>
      </c>
      <c r="I242" s="10"/>
      <c r="K242" s="10"/>
    </row>
    <row r="243" spans="2:16" ht="24" hidden="1" outlineLevel="1" x14ac:dyDescent="0.3">
      <c r="B243" s="12" t="s">
        <v>8</v>
      </c>
      <c r="C243" s="12" t="s">
        <v>9</v>
      </c>
      <c r="D243" s="152" t="s">
        <v>178</v>
      </c>
      <c r="E243" s="153" t="s">
        <v>178</v>
      </c>
      <c r="F243" s="152" t="s">
        <v>179</v>
      </c>
      <c r="G243" s="153" t="s">
        <v>180</v>
      </c>
      <c r="H243" s="152" t="s">
        <v>179</v>
      </c>
      <c r="I243" s="130" t="s">
        <v>14</v>
      </c>
      <c r="J243" s="131" t="s">
        <v>105</v>
      </c>
      <c r="L243" s="153" t="s">
        <v>181</v>
      </c>
      <c r="M243" s="152" t="s">
        <v>179</v>
      </c>
      <c r="O243" s="129"/>
      <c r="P243" s="129"/>
    </row>
    <row r="244" spans="2:16" hidden="1" outlineLevel="1" x14ac:dyDescent="0.3">
      <c r="B244" s="21" t="s">
        <v>154</v>
      </c>
      <c r="C244" s="21" t="s">
        <v>22</v>
      </c>
      <c r="D244" s="24">
        <v>20395.04</v>
      </c>
      <c r="E244" s="95">
        <v>21358.98</v>
      </c>
      <c r="F244" s="95"/>
      <c r="G244" s="95">
        <v>21732.76</v>
      </c>
      <c r="H244" s="95"/>
      <c r="I244" s="95">
        <f>+G244</f>
        <v>21732.76</v>
      </c>
      <c r="J244" s="95">
        <f>+I244/$D$242</f>
        <v>12.475752009184845</v>
      </c>
      <c r="L244" s="95">
        <v>22058.76</v>
      </c>
      <c r="M244" s="95"/>
      <c r="O244" s="154">
        <f t="shared" ref="O244:O270" si="53">G244/E244-1</f>
        <v>1.749989933976237E-2</v>
      </c>
      <c r="P244" s="154">
        <f t="shared" ref="P244:P270" si="54">L244/G244-1</f>
        <v>1.5000395715960568E-2</v>
      </c>
    </row>
    <row r="245" spans="2:16" hidden="1" outlineLevel="1" x14ac:dyDescent="0.3">
      <c r="B245" s="31" t="s">
        <v>23</v>
      </c>
      <c r="C245" s="21" t="s">
        <v>24</v>
      </c>
      <c r="D245" s="24">
        <v>17845.66</v>
      </c>
      <c r="E245" s="95">
        <v>18689.12</v>
      </c>
      <c r="F245" s="95"/>
      <c r="G245" s="95">
        <v>19389.96</v>
      </c>
      <c r="H245" s="95"/>
      <c r="I245" s="95">
        <f t="shared" ref="I245:I256" si="55">+G245</f>
        <v>19389.96</v>
      </c>
      <c r="J245" s="95">
        <f t="shared" ref="J245:J270" si="56">+I245/$D$242</f>
        <v>11.130861079219288</v>
      </c>
      <c r="L245" s="95">
        <v>19680.810000000001</v>
      </c>
      <c r="M245" s="95"/>
      <c r="O245" s="154">
        <f t="shared" si="53"/>
        <v>3.7499892985865646E-2</v>
      </c>
      <c r="P245" s="154">
        <f t="shared" si="54"/>
        <v>1.5000030943849385E-2</v>
      </c>
    </row>
    <row r="246" spans="2:16" hidden="1" outlineLevel="1" x14ac:dyDescent="0.3">
      <c r="B246" s="32"/>
      <c r="C246" s="21" t="s">
        <v>25</v>
      </c>
      <c r="D246" s="24">
        <v>17845.66</v>
      </c>
      <c r="E246" s="95">
        <v>18689.12</v>
      </c>
      <c r="F246" s="95"/>
      <c r="G246" s="95">
        <v>19389.96</v>
      </c>
      <c r="H246" s="95"/>
      <c r="I246" s="95">
        <f t="shared" si="55"/>
        <v>19389.96</v>
      </c>
      <c r="J246" s="95">
        <f t="shared" si="56"/>
        <v>11.130861079219288</v>
      </c>
      <c r="L246" s="95">
        <v>19680.810000000001</v>
      </c>
      <c r="M246" s="95"/>
      <c r="O246" s="154">
        <f t="shared" si="53"/>
        <v>3.7499892985865646E-2</v>
      </c>
      <c r="P246" s="154">
        <f t="shared" si="54"/>
        <v>1.5000030943849385E-2</v>
      </c>
    </row>
    <row r="247" spans="2:16" hidden="1" outlineLevel="1" x14ac:dyDescent="0.3">
      <c r="B247" s="32"/>
      <c r="C247" s="21" t="s">
        <v>26</v>
      </c>
      <c r="D247" s="24">
        <v>17208.32</v>
      </c>
      <c r="E247" s="95">
        <v>18021.650000000001</v>
      </c>
      <c r="F247" s="95"/>
      <c r="G247" s="95">
        <v>18697.46</v>
      </c>
      <c r="H247" s="95"/>
      <c r="I247" s="95">
        <f t="shared" si="55"/>
        <v>18697.46</v>
      </c>
      <c r="J247" s="95">
        <f t="shared" si="56"/>
        <v>10.733329506314581</v>
      </c>
      <c r="L247" s="95">
        <v>18977.93</v>
      </c>
      <c r="M247" s="95"/>
      <c r="O247" s="154">
        <f t="shared" si="53"/>
        <v>3.7499895958472029E-2</v>
      </c>
      <c r="P247" s="154">
        <f t="shared" si="54"/>
        <v>1.5000433213923303E-2</v>
      </c>
    </row>
    <row r="248" spans="2:16" hidden="1" outlineLevel="1" x14ac:dyDescent="0.3">
      <c r="B248" s="32"/>
      <c r="C248" s="21" t="s">
        <v>27</v>
      </c>
      <c r="D248" s="24">
        <v>17208.32</v>
      </c>
      <c r="E248" s="95">
        <v>18021.650000000001</v>
      </c>
      <c r="F248" s="95"/>
      <c r="G248" s="95">
        <v>18697.46</v>
      </c>
      <c r="H248" s="95"/>
      <c r="I248" s="95">
        <f t="shared" si="55"/>
        <v>18697.46</v>
      </c>
      <c r="J248" s="95">
        <f t="shared" si="56"/>
        <v>10.733329506314581</v>
      </c>
      <c r="L248" s="95">
        <v>18977.93</v>
      </c>
      <c r="M248" s="95"/>
      <c r="O248" s="154">
        <f t="shared" si="53"/>
        <v>3.7499895958472029E-2</v>
      </c>
      <c r="P248" s="154">
        <f t="shared" si="54"/>
        <v>1.5000433213923303E-2</v>
      </c>
    </row>
    <row r="249" spans="2:16" hidden="1" outlineLevel="1" x14ac:dyDescent="0.3">
      <c r="B249" s="33"/>
      <c r="C249" s="21" t="s">
        <v>28</v>
      </c>
      <c r="D249" s="24">
        <v>17208.32</v>
      </c>
      <c r="E249" s="95">
        <v>18021.650000000001</v>
      </c>
      <c r="F249" s="95"/>
      <c r="G249" s="95">
        <v>18697.46</v>
      </c>
      <c r="H249" s="95"/>
      <c r="I249" s="95">
        <f t="shared" si="55"/>
        <v>18697.46</v>
      </c>
      <c r="J249" s="95">
        <f t="shared" si="56"/>
        <v>10.733329506314581</v>
      </c>
      <c r="L249" s="95">
        <v>18977.93</v>
      </c>
      <c r="M249" s="95"/>
      <c r="O249" s="154">
        <f t="shared" si="53"/>
        <v>3.7499895958472029E-2</v>
      </c>
      <c r="P249" s="154">
        <f t="shared" si="54"/>
        <v>1.5000433213923303E-2</v>
      </c>
    </row>
    <row r="250" spans="2:16" hidden="1" outlineLevel="1" x14ac:dyDescent="0.3">
      <c r="B250" s="31" t="s">
        <v>29</v>
      </c>
      <c r="C250" s="21" t="s">
        <v>30</v>
      </c>
      <c r="D250" s="24">
        <v>16570.97</v>
      </c>
      <c r="E250" s="95">
        <v>17354.18</v>
      </c>
      <c r="F250" s="95"/>
      <c r="G250" s="95">
        <v>18004.96</v>
      </c>
      <c r="H250" s="95"/>
      <c r="I250" s="95">
        <f t="shared" si="55"/>
        <v>18004.96</v>
      </c>
      <c r="J250" s="95">
        <f t="shared" si="56"/>
        <v>10.335797933409873</v>
      </c>
      <c r="L250" s="95">
        <v>18275.03</v>
      </c>
      <c r="M250" s="95"/>
      <c r="O250" s="154">
        <f t="shared" si="53"/>
        <v>3.7499899159741279E-2</v>
      </c>
      <c r="P250" s="154">
        <f t="shared" si="54"/>
        <v>1.4999755622894906E-2</v>
      </c>
    </row>
    <row r="251" spans="2:16" hidden="1" outlineLevel="1" x14ac:dyDescent="0.3">
      <c r="B251" s="32"/>
      <c r="C251" s="21" t="s">
        <v>31</v>
      </c>
      <c r="D251" s="24">
        <v>15933.63</v>
      </c>
      <c r="E251" s="95">
        <v>16726.349999999999</v>
      </c>
      <c r="F251" s="95"/>
      <c r="G251" s="95">
        <v>17228.14</v>
      </c>
      <c r="H251" s="95"/>
      <c r="I251" s="95">
        <f t="shared" si="55"/>
        <v>17228.14</v>
      </c>
      <c r="J251" s="95">
        <f t="shared" si="56"/>
        <v>9.8898622273249135</v>
      </c>
      <c r="L251" s="95">
        <v>17400.419999999998</v>
      </c>
      <c r="M251" s="95"/>
      <c r="O251" s="154">
        <f t="shared" si="53"/>
        <v>2.9999970107046803E-2</v>
      </c>
      <c r="P251" s="154">
        <f t="shared" si="54"/>
        <v>9.9999187376000886E-3</v>
      </c>
    </row>
    <row r="252" spans="2:16" hidden="1" outlineLevel="1" x14ac:dyDescent="0.3">
      <c r="B252" s="32"/>
      <c r="C252" s="21" t="s">
        <v>32</v>
      </c>
      <c r="D252" s="24">
        <v>15933.63</v>
      </c>
      <c r="E252" s="95">
        <v>16686.71</v>
      </c>
      <c r="F252" s="95">
        <v>435.8</v>
      </c>
      <c r="G252" s="95">
        <v>17153.939999999999</v>
      </c>
      <c r="H252" s="95">
        <v>435.8</v>
      </c>
      <c r="I252" s="95">
        <f t="shared" si="55"/>
        <v>17153.939999999999</v>
      </c>
      <c r="J252" s="95">
        <f t="shared" si="56"/>
        <v>9.8472675086107913</v>
      </c>
      <c r="K252" s="155">
        <f>(I252+H252)/1742</f>
        <v>10.097439724454649</v>
      </c>
      <c r="L252" s="95">
        <v>17411.25</v>
      </c>
      <c r="M252" s="95">
        <v>435.8</v>
      </c>
      <c r="O252" s="154">
        <f t="shared" si="53"/>
        <v>2.8000127047212997E-2</v>
      </c>
      <c r="P252" s="154">
        <f t="shared" si="54"/>
        <v>1.5000052466080716E-2</v>
      </c>
    </row>
    <row r="253" spans="2:16" hidden="1" outlineLevel="1" x14ac:dyDescent="0.3">
      <c r="B253" s="32"/>
      <c r="C253" s="21" t="s">
        <v>155</v>
      </c>
      <c r="D253" s="24">
        <v>14977.61</v>
      </c>
      <c r="E253" s="95">
        <v>15685.5</v>
      </c>
      <c r="F253" s="95">
        <v>435.8</v>
      </c>
      <c r="G253" s="95">
        <v>16156.07</v>
      </c>
      <c r="H253" s="95">
        <v>435.8</v>
      </c>
      <c r="I253" s="95">
        <f t="shared" si="55"/>
        <v>16156.07</v>
      </c>
      <c r="J253" s="95">
        <f t="shared" si="56"/>
        <v>9.2744374282433988</v>
      </c>
      <c r="K253" s="155">
        <f>(I253+H253)/1742</f>
        <v>9.5246096440872563</v>
      </c>
      <c r="L253" s="95">
        <v>16398.41</v>
      </c>
      <c r="M253" s="95">
        <v>435.8</v>
      </c>
      <c r="O253" s="154">
        <f t="shared" si="53"/>
        <v>3.0000318765738943E-2</v>
      </c>
      <c r="P253" s="154">
        <f t="shared" si="54"/>
        <v>1.4999935008947141E-2</v>
      </c>
    </row>
    <row r="254" spans="2:16" hidden="1" outlineLevel="1" x14ac:dyDescent="0.3">
      <c r="B254" s="32"/>
      <c r="C254" s="21" t="s">
        <v>34</v>
      </c>
      <c r="D254" s="24">
        <v>14977.61</v>
      </c>
      <c r="E254" s="95">
        <v>15685.5</v>
      </c>
      <c r="F254" s="95"/>
      <c r="G254" s="95">
        <v>16273.71</v>
      </c>
      <c r="H254" s="95"/>
      <c r="I254" s="95">
        <f t="shared" si="55"/>
        <v>16273.71</v>
      </c>
      <c r="J254" s="95">
        <f t="shared" si="56"/>
        <v>9.3419690011481045</v>
      </c>
      <c r="L254" s="95">
        <v>16517.810000000001</v>
      </c>
      <c r="M254" s="95"/>
      <c r="O254" s="154">
        <f t="shared" si="53"/>
        <v>3.750023907430422E-2</v>
      </c>
      <c r="P254" s="154">
        <f t="shared" si="54"/>
        <v>1.4999652814263076E-2</v>
      </c>
    </row>
    <row r="255" spans="2:16" hidden="1" outlineLevel="1" x14ac:dyDescent="0.3">
      <c r="B255" s="33"/>
      <c r="C255" s="21" t="s">
        <v>35</v>
      </c>
      <c r="D255" s="24">
        <v>13850.37</v>
      </c>
      <c r="E255" s="95">
        <v>14915.78</v>
      </c>
      <c r="F255" s="95">
        <f>+E255/1742</f>
        <v>8.5624454649827779</v>
      </c>
      <c r="G255" s="95">
        <v>15124.6</v>
      </c>
      <c r="H255" s="95">
        <f>+G255/1742</f>
        <v>8.6823191733639504</v>
      </c>
      <c r="I255" s="95">
        <f t="shared" si="55"/>
        <v>15124.6</v>
      </c>
      <c r="J255" s="95">
        <f t="shared" si="56"/>
        <v>8.6823191733639504</v>
      </c>
      <c r="L255" s="95">
        <v>15351.47</v>
      </c>
      <c r="M255" s="95">
        <f>+L255/1742</f>
        <v>8.8125545350172221</v>
      </c>
      <c r="N255" s="65"/>
      <c r="O255" s="154">
        <f t="shared" si="53"/>
        <v>1.3999938320355954E-2</v>
      </c>
      <c r="P255" s="154">
        <f t="shared" si="54"/>
        <v>1.5000066117450972E-2</v>
      </c>
    </row>
    <row r="256" spans="2:16" hidden="1" outlineLevel="1" x14ac:dyDescent="0.3">
      <c r="B256" s="156"/>
      <c r="C256" s="21" t="s">
        <v>156</v>
      </c>
      <c r="D256" s="24">
        <v>14977.61</v>
      </c>
      <c r="E256" s="95">
        <v>16691.46</v>
      </c>
      <c r="F256" s="95">
        <v>435.8</v>
      </c>
      <c r="G256" s="95">
        <v>17158.82</v>
      </c>
      <c r="H256" s="95">
        <v>435.8</v>
      </c>
      <c r="I256" s="95">
        <f t="shared" si="55"/>
        <v>17158.82</v>
      </c>
      <c r="J256" s="95">
        <f t="shared" si="56"/>
        <v>9.8500688863375423</v>
      </c>
      <c r="K256" s="155">
        <f>(I256+H256)/1742</f>
        <v>10.1002411021814</v>
      </c>
      <c r="L256" s="95">
        <v>17416.2</v>
      </c>
      <c r="M256" s="95">
        <v>435.8</v>
      </c>
      <c r="O256" s="154">
        <f t="shared" si="53"/>
        <v>2.7999947278428694E-2</v>
      </c>
      <c r="P256" s="154">
        <f t="shared" si="54"/>
        <v>1.4999865958148728E-2</v>
      </c>
    </row>
    <row r="257" spans="2:16" hidden="1" outlineLevel="1" x14ac:dyDescent="0.3">
      <c r="B257" s="156"/>
      <c r="C257" s="21" t="s">
        <v>157</v>
      </c>
      <c r="D257" s="24">
        <v>13903.5</v>
      </c>
      <c r="E257" s="95">
        <v>14508</v>
      </c>
      <c r="F257" s="95"/>
      <c r="G257" s="95">
        <v>14725.62</v>
      </c>
      <c r="H257" s="95"/>
      <c r="I257" s="132">
        <f t="shared" ref="I257:I258" si="57">1080*14</f>
        <v>15120</v>
      </c>
      <c r="J257" s="95">
        <f t="shared" si="56"/>
        <v>8.6796785304247983</v>
      </c>
      <c r="L257" s="95">
        <v>14946.5</v>
      </c>
      <c r="M257" s="95"/>
      <c r="O257" s="154">
        <f t="shared" si="53"/>
        <v>1.5000000000000124E-2</v>
      </c>
      <c r="P257" s="154">
        <f t="shared" si="54"/>
        <v>1.4999707991921518E-2</v>
      </c>
    </row>
    <row r="258" spans="2:16" hidden="1" outlineLevel="1" x14ac:dyDescent="0.3">
      <c r="B258" s="156"/>
      <c r="C258" s="21" t="s">
        <v>158</v>
      </c>
      <c r="D258" s="24">
        <v>13903.5</v>
      </c>
      <c r="E258" s="95">
        <v>14306.5</v>
      </c>
      <c r="F258" s="95"/>
      <c r="G258" s="95">
        <v>14513.94</v>
      </c>
      <c r="H258" s="95"/>
      <c r="I258" s="132">
        <f t="shared" si="57"/>
        <v>15120</v>
      </c>
      <c r="J258" s="95">
        <f t="shared" si="56"/>
        <v>8.6796785304247983</v>
      </c>
      <c r="L258" s="95">
        <v>14731.65</v>
      </c>
      <c r="M258" s="95"/>
      <c r="O258" s="154">
        <f t="shared" si="53"/>
        <v>1.4499702932233571E-2</v>
      </c>
      <c r="P258" s="154">
        <f t="shared" si="54"/>
        <v>1.500006200935089E-2</v>
      </c>
    </row>
    <row r="259" spans="2:16" hidden="1" outlineLevel="1" x14ac:dyDescent="0.3">
      <c r="B259" s="31" t="s">
        <v>39</v>
      </c>
      <c r="C259" s="21" t="s">
        <v>40</v>
      </c>
      <c r="D259" s="24">
        <v>15296.29</v>
      </c>
      <c r="E259" s="95">
        <v>16019.25</v>
      </c>
      <c r="F259" s="95"/>
      <c r="G259" s="95">
        <v>16467.79</v>
      </c>
      <c r="H259" s="95"/>
      <c r="I259" s="95">
        <f t="shared" ref="I259" si="58">+G259</f>
        <v>16467.79</v>
      </c>
      <c r="J259" s="95">
        <f t="shared" si="56"/>
        <v>9.453381171067738</v>
      </c>
      <c r="L259" s="95">
        <v>16714.810000000001</v>
      </c>
      <c r="M259" s="95"/>
      <c r="O259" s="154">
        <f t="shared" si="53"/>
        <v>2.8000062424895056E-2</v>
      </c>
      <c r="P259" s="154">
        <f t="shared" si="54"/>
        <v>1.5000191282497521E-2</v>
      </c>
    </row>
    <row r="260" spans="2:16" hidden="1" outlineLevel="1" x14ac:dyDescent="0.3">
      <c r="B260" s="32"/>
      <c r="C260" s="21" t="s">
        <v>41</v>
      </c>
      <c r="D260" s="24">
        <v>13903.5</v>
      </c>
      <c r="E260" s="95">
        <v>14508</v>
      </c>
      <c r="F260" s="95">
        <v>435.8</v>
      </c>
      <c r="G260" s="95">
        <v>14732.87</v>
      </c>
      <c r="H260" s="95">
        <v>435.8</v>
      </c>
      <c r="I260" s="157">
        <f>+G260</f>
        <v>14732.87</v>
      </c>
      <c r="J260" s="95">
        <f t="shared" si="56"/>
        <v>8.4574454649827793</v>
      </c>
      <c r="K260" s="155">
        <f>(I260+H260)/1742</f>
        <v>8.7076176808266368</v>
      </c>
      <c r="L260" s="95">
        <v>14953.86</v>
      </c>
      <c r="M260" s="95">
        <v>435.8</v>
      </c>
      <c r="O260" s="154">
        <f t="shared" si="53"/>
        <v>1.5499724290046979E-2</v>
      </c>
      <c r="P260" s="154">
        <f t="shared" si="54"/>
        <v>1.499979297991505E-2</v>
      </c>
    </row>
    <row r="261" spans="2:16" hidden="1" outlineLevel="1" x14ac:dyDescent="0.3">
      <c r="B261" s="31" t="s">
        <v>42</v>
      </c>
      <c r="C261" s="21" t="s">
        <v>43</v>
      </c>
      <c r="D261" s="24">
        <v>13903.5</v>
      </c>
      <c r="E261" s="95">
        <v>14575.16</v>
      </c>
      <c r="F261" s="95"/>
      <c r="G261" s="95">
        <v>14830.23</v>
      </c>
      <c r="H261" s="95"/>
      <c r="I261" s="132">
        <f t="shared" ref="I261:I264" si="59">1080*14</f>
        <v>15120</v>
      </c>
      <c r="J261" s="95">
        <f t="shared" si="56"/>
        <v>8.6796785304247983</v>
      </c>
      <c r="K261" s="158"/>
      <c r="L261" s="95">
        <v>15052.68</v>
      </c>
      <c r="M261" s="95"/>
      <c r="O261" s="154">
        <f t="shared" si="53"/>
        <v>1.7500322466442952E-2</v>
      </c>
      <c r="P261" s="154">
        <f t="shared" si="54"/>
        <v>1.4999767367060546E-2</v>
      </c>
    </row>
    <row r="262" spans="2:16" hidden="1" outlineLevel="1" x14ac:dyDescent="0.3">
      <c r="B262" s="32"/>
      <c r="C262" s="21" t="s">
        <v>44</v>
      </c>
      <c r="D262" s="24">
        <v>13903.5</v>
      </c>
      <c r="E262" s="95">
        <v>14575.16</v>
      </c>
      <c r="F262" s="95"/>
      <c r="G262" s="95">
        <v>14830.23</v>
      </c>
      <c r="H262" s="95"/>
      <c r="I262" s="132">
        <f t="shared" si="59"/>
        <v>15120</v>
      </c>
      <c r="J262" s="95">
        <f t="shared" si="56"/>
        <v>8.6796785304247983</v>
      </c>
      <c r="L262" s="95">
        <v>15052.68</v>
      </c>
      <c r="M262" s="95"/>
      <c r="O262" s="154">
        <f t="shared" si="53"/>
        <v>1.7500322466442952E-2</v>
      </c>
      <c r="P262" s="154">
        <f t="shared" si="54"/>
        <v>1.4999767367060546E-2</v>
      </c>
    </row>
    <row r="263" spans="2:16" hidden="1" outlineLevel="1" x14ac:dyDescent="0.3">
      <c r="B263" s="32"/>
      <c r="C263" s="21" t="s">
        <v>45</v>
      </c>
      <c r="D263" s="24">
        <v>13903.5</v>
      </c>
      <c r="E263" s="95">
        <v>14172.16</v>
      </c>
      <c r="F263" s="95"/>
      <c r="G263" s="95">
        <v>14420.18</v>
      </c>
      <c r="H263" s="95"/>
      <c r="I263" s="132">
        <f t="shared" si="59"/>
        <v>15120</v>
      </c>
      <c r="J263" s="95">
        <f t="shared" si="56"/>
        <v>8.6796785304247983</v>
      </c>
      <c r="L263" s="95">
        <v>14636.48</v>
      </c>
      <c r="M263" s="95"/>
      <c r="O263" s="154">
        <f t="shared" si="53"/>
        <v>1.7500508038294837E-2</v>
      </c>
      <c r="P263" s="154">
        <f t="shared" si="54"/>
        <v>1.4999812762392706E-2</v>
      </c>
    </row>
    <row r="264" spans="2:16" hidden="1" outlineLevel="1" x14ac:dyDescent="0.3">
      <c r="B264" s="32"/>
      <c r="C264" s="21" t="s">
        <v>46</v>
      </c>
      <c r="D264" s="24">
        <v>13903.5</v>
      </c>
      <c r="E264" s="95">
        <v>14172.16</v>
      </c>
      <c r="F264" s="95"/>
      <c r="G264" s="95">
        <v>14420.18</v>
      </c>
      <c r="H264" s="95"/>
      <c r="I264" s="132">
        <f t="shared" si="59"/>
        <v>15120</v>
      </c>
      <c r="J264" s="95">
        <f t="shared" si="56"/>
        <v>8.6796785304247983</v>
      </c>
      <c r="L264" s="95">
        <v>14636.48</v>
      </c>
      <c r="M264" s="95"/>
      <c r="O264" s="154">
        <f t="shared" si="53"/>
        <v>1.7500508038294837E-2</v>
      </c>
      <c r="P264" s="154">
        <f t="shared" si="54"/>
        <v>1.4999812762392706E-2</v>
      </c>
    </row>
    <row r="265" spans="2:16" hidden="1" outlineLevel="1" x14ac:dyDescent="0.3">
      <c r="B265" s="31" t="s">
        <v>47</v>
      </c>
      <c r="C265" s="21" t="s">
        <v>48</v>
      </c>
      <c r="D265" s="24">
        <v>13903.5</v>
      </c>
      <c r="E265" s="95">
        <v>16686.71</v>
      </c>
      <c r="F265" s="95"/>
      <c r="G265" s="95">
        <v>16995.419999999998</v>
      </c>
      <c r="H265" s="95"/>
      <c r="I265" s="95">
        <f t="shared" ref="I265" si="60">+G265</f>
        <v>16995.419999999998</v>
      </c>
      <c r="J265" s="95">
        <f t="shared" si="56"/>
        <v>9.7562686567164167</v>
      </c>
      <c r="L265" s="95">
        <v>17250.349999999999</v>
      </c>
      <c r="M265" s="95"/>
      <c r="O265" s="154">
        <f t="shared" si="53"/>
        <v>1.8500351477313437E-2</v>
      </c>
      <c r="P265" s="154">
        <f t="shared" si="54"/>
        <v>1.4999923508804081E-2</v>
      </c>
    </row>
    <row r="266" spans="2:16" hidden="1" outlineLevel="1" x14ac:dyDescent="0.3">
      <c r="B266" s="32"/>
      <c r="C266" s="21" t="s">
        <v>49</v>
      </c>
      <c r="D266" s="24">
        <v>13903.5</v>
      </c>
      <c r="E266" s="95">
        <v>14306.5</v>
      </c>
      <c r="F266" s="95"/>
      <c r="G266" s="95">
        <v>14521.09</v>
      </c>
      <c r="H266" s="95"/>
      <c r="I266" s="132">
        <f t="shared" ref="I266:I270" si="61">1080*14</f>
        <v>15120</v>
      </c>
      <c r="J266" s="95">
        <f t="shared" si="56"/>
        <v>8.6796785304247983</v>
      </c>
      <c r="L266" s="95">
        <v>14738.91</v>
      </c>
      <c r="M266" s="95"/>
      <c r="O266" s="154">
        <f t="shared" si="53"/>
        <v>1.4999475762765169E-2</v>
      </c>
      <c r="P266" s="154">
        <f t="shared" si="54"/>
        <v>1.5000251358541217E-2</v>
      </c>
    </row>
    <row r="267" spans="2:16" hidden="1" outlineLevel="1" x14ac:dyDescent="0.3">
      <c r="B267" s="32"/>
      <c r="C267" s="21" t="s">
        <v>51</v>
      </c>
      <c r="D267" s="24">
        <v>13903.5</v>
      </c>
      <c r="E267" s="95">
        <v>14172.16</v>
      </c>
      <c r="F267" s="95"/>
      <c r="G267" s="95">
        <v>14420.18</v>
      </c>
      <c r="H267" s="95"/>
      <c r="I267" s="132">
        <f t="shared" si="61"/>
        <v>15120</v>
      </c>
      <c r="J267" s="95">
        <f t="shared" si="56"/>
        <v>8.6796785304247983</v>
      </c>
      <c r="L267" s="95">
        <v>14636.48</v>
      </c>
      <c r="M267" s="95"/>
      <c r="O267" s="154">
        <f t="shared" si="53"/>
        <v>1.7500508038294837E-2</v>
      </c>
      <c r="P267" s="154">
        <f t="shared" si="54"/>
        <v>1.4999812762392706E-2</v>
      </c>
    </row>
    <row r="268" spans="2:16" hidden="1" outlineLevel="1" x14ac:dyDescent="0.3">
      <c r="B268" s="32"/>
      <c r="C268" s="21" t="s">
        <v>50</v>
      </c>
      <c r="D268" s="24">
        <v>13903.5</v>
      </c>
      <c r="E268" s="95">
        <v>14172.16</v>
      </c>
      <c r="F268" s="95"/>
      <c r="G268" s="95">
        <v>14420.18</v>
      </c>
      <c r="H268" s="95"/>
      <c r="I268" s="132">
        <f t="shared" si="61"/>
        <v>15120</v>
      </c>
      <c r="J268" s="95">
        <f t="shared" si="56"/>
        <v>8.6796785304247983</v>
      </c>
      <c r="L268" s="95">
        <v>14636.48</v>
      </c>
      <c r="M268" s="95"/>
      <c r="O268" s="154">
        <f t="shared" si="53"/>
        <v>1.7500508038294837E-2</v>
      </c>
      <c r="P268" s="154">
        <f t="shared" si="54"/>
        <v>1.4999812762392706E-2</v>
      </c>
    </row>
    <row r="269" spans="2:16" hidden="1" outlineLevel="1" x14ac:dyDescent="0.3">
      <c r="B269" s="32"/>
      <c r="C269" s="21" t="s">
        <v>52</v>
      </c>
      <c r="D269" s="24">
        <v>13903.5</v>
      </c>
      <c r="E269" s="95">
        <v>14172.16</v>
      </c>
      <c r="F269" s="95"/>
      <c r="G269" s="95">
        <v>14420.18</v>
      </c>
      <c r="H269" s="95"/>
      <c r="I269" s="132">
        <f t="shared" si="61"/>
        <v>15120</v>
      </c>
      <c r="J269" s="95">
        <f t="shared" si="56"/>
        <v>8.6796785304247983</v>
      </c>
      <c r="L269" s="95">
        <v>14636.48</v>
      </c>
      <c r="M269" s="95"/>
      <c r="O269" s="154">
        <f t="shared" si="53"/>
        <v>1.7500508038294837E-2</v>
      </c>
      <c r="P269" s="154">
        <f t="shared" si="54"/>
        <v>1.4999812762392706E-2</v>
      </c>
    </row>
    <row r="270" spans="2:16" hidden="1" outlineLevel="1" x14ac:dyDescent="0.3">
      <c r="B270" s="33"/>
      <c r="C270" s="21" t="s">
        <v>53</v>
      </c>
      <c r="D270" s="24">
        <v>13903.5</v>
      </c>
      <c r="E270" s="95">
        <v>14172.16</v>
      </c>
      <c r="F270" s="95"/>
      <c r="G270" s="95">
        <v>14420.18</v>
      </c>
      <c r="H270" s="95"/>
      <c r="I270" s="132">
        <f t="shared" si="61"/>
        <v>15120</v>
      </c>
      <c r="J270" s="95">
        <f t="shared" si="56"/>
        <v>8.6796785304247983</v>
      </c>
      <c r="L270" s="95">
        <v>14636.48</v>
      </c>
      <c r="M270" s="95"/>
      <c r="O270" s="154">
        <f t="shared" si="53"/>
        <v>1.7500508038294837E-2</v>
      </c>
      <c r="P270" s="154">
        <f t="shared" si="54"/>
        <v>1.4999812762392706E-2</v>
      </c>
    </row>
    <row r="271" spans="2:16" hidden="1" outlineLevel="1" x14ac:dyDescent="0.3"/>
    <row r="272" spans="2:16" hidden="1" outlineLevel="1" x14ac:dyDescent="0.3"/>
    <row r="273" spans="2:19" hidden="1" outlineLevel="1" x14ac:dyDescent="0.3">
      <c r="B273" s="1" t="s">
        <v>159</v>
      </c>
    </row>
    <row r="274" spans="2:19" hidden="1" outlineLevel="1" x14ac:dyDescent="0.3">
      <c r="B274" s="1" t="s">
        <v>160</v>
      </c>
    </row>
    <row r="275" spans="2:19" hidden="1" outlineLevel="1" x14ac:dyDescent="0.3">
      <c r="B275" s="1" t="s">
        <v>161</v>
      </c>
    </row>
    <row r="276" spans="2:19" hidden="1" outlineLevel="1" x14ac:dyDescent="0.3">
      <c r="B276" s="1" t="s">
        <v>96</v>
      </c>
    </row>
    <row r="277" spans="2:19" hidden="1" outlineLevel="1" x14ac:dyDescent="0.3">
      <c r="B277" s="1" t="s">
        <v>101</v>
      </c>
    </row>
    <row r="278" spans="2:19" hidden="1" outlineLevel="1" x14ac:dyDescent="0.3"/>
    <row r="279" spans="2:19" collapsed="1" x14ac:dyDescent="0.3"/>
    <row r="280" spans="2:19" ht="18" x14ac:dyDescent="0.3">
      <c r="B280" s="7" t="s">
        <v>182</v>
      </c>
      <c r="C280" s="8"/>
      <c r="D280" s="9"/>
      <c r="E280" s="9"/>
      <c r="F280" s="9"/>
      <c r="G280" s="8"/>
      <c r="H280" s="8"/>
      <c r="I280" s="8"/>
      <c r="J280" s="8"/>
      <c r="K280" s="8"/>
      <c r="L280" s="8"/>
    </row>
    <row r="281" spans="2:19" outlineLevel="1" x14ac:dyDescent="0.3">
      <c r="B281" s="1" t="s">
        <v>183</v>
      </c>
      <c r="D281" s="1"/>
      <c r="E281" s="1"/>
      <c r="F281" s="1"/>
    </row>
    <row r="282" spans="2:19" outlineLevel="1" x14ac:dyDescent="0.3">
      <c r="B282" s="1" t="s">
        <v>184</v>
      </c>
      <c r="D282" s="1"/>
      <c r="E282" s="1"/>
      <c r="F282" s="10"/>
    </row>
    <row r="283" spans="2:19" outlineLevel="1" x14ac:dyDescent="0.3">
      <c r="B283" s="1" t="s">
        <v>185</v>
      </c>
      <c r="D283" s="1"/>
      <c r="E283" s="1"/>
      <c r="F283" s="10"/>
    </row>
    <row r="284" spans="2:19" outlineLevel="1" x14ac:dyDescent="0.3">
      <c r="D284" s="71" t="s">
        <v>146</v>
      </c>
      <c r="E284" s="2">
        <v>37.5</v>
      </c>
    </row>
    <row r="285" spans="2:19" outlineLevel="1" x14ac:dyDescent="0.3">
      <c r="D285" s="71" t="s">
        <v>147</v>
      </c>
      <c r="E285" s="2">
        <v>1698</v>
      </c>
      <c r="R285" s="1" t="s">
        <v>186</v>
      </c>
    </row>
    <row r="286" spans="2:19" ht="36" outlineLevel="1" x14ac:dyDescent="0.3">
      <c r="B286" s="12" t="s">
        <v>8</v>
      </c>
      <c r="C286" s="12" t="s">
        <v>9</v>
      </c>
      <c r="D286" s="159" t="s">
        <v>187</v>
      </c>
      <c r="E286" s="152" t="s">
        <v>188</v>
      </c>
      <c r="F286" s="152" t="s">
        <v>179</v>
      </c>
      <c r="G286" s="160" t="s">
        <v>189</v>
      </c>
      <c r="I286" s="152" t="s">
        <v>190</v>
      </c>
      <c r="J286" s="160" t="s">
        <v>191</v>
      </c>
      <c r="L286" s="152" t="s">
        <v>192</v>
      </c>
      <c r="M286" s="160" t="s">
        <v>193</v>
      </c>
      <c r="O286" s="152" t="s">
        <v>194</v>
      </c>
      <c r="P286" s="160" t="s">
        <v>195</v>
      </c>
      <c r="R286" s="161" t="s">
        <v>196</v>
      </c>
      <c r="S286" s="161" t="s">
        <v>197</v>
      </c>
    </row>
    <row r="287" spans="2:19" outlineLevel="1" x14ac:dyDescent="0.3">
      <c r="B287" s="21" t="s">
        <v>21</v>
      </c>
      <c r="C287" s="21" t="s">
        <v>22</v>
      </c>
      <c r="D287" s="162">
        <f>+L244+M244</f>
        <v>22058.76</v>
      </c>
      <c r="E287" s="24">
        <v>24705.81</v>
      </c>
      <c r="F287" s="24"/>
      <c r="G287" s="163">
        <f>+E287+F287</f>
        <v>24705.81</v>
      </c>
      <c r="H287" s="116">
        <f t="shared" ref="H287:H301" si="62">G287/D287-1</f>
        <v>0.1199999455998435</v>
      </c>
      <c r="I287" s="24">
        <v>26929.33</v>
      </c>
      <c r="J287" s="163">
        <f>+I287+F287</f>
        <v>26929.33</v>
      </c>
      <c r="K287" s="116">
        <f>J287/G287-1</f>
        <v>8.9999882618703841E-2</v>
      </c>
      <c r="L287" s="24">
        <v>29352.97</v>
      </c>
      <c r="M287" s="163">
        <f>+L287+F287</f>
        <v>29352.97</v>
      </c>
      <c r="N287" s="116">
        <f>M287/J287-1</f>
        <v>9.0000011140269676E-2</v>
      </c>
      <c r="O287" s="24">
        <v>31994.74</v>
      </c>
      <c r="P287" s="163">
        <f>+O287+F287</f>
        <v>31994.74</v>
      </c>
      <c r="Q287" s="116">
        <f>P287/M287-1</f>
        <v>9.0000091983877706E-2</v>
      </c>
      <c r="R287" s="164">
        <v>0.04</v>
      </c>
      <c r="S287" s="164">
        <v>0.04</v>
      </c>
    </row>
    <row r="288" spans="2:19" outlineLevel="1" x14ac:dyDescent="0.3">
      <c r="B288" s="31" t="s">
        <v>23</v>
      </c>
      <c r="C288" s="21" t="s">
        <v>24</v>
      </c>
      <c r="D288" s="162">
        <f t="shared" ref="D288:D302" si="63">+L245+M245</f>
        <v>19680.810000000001</v>
      </c>
      <c r="E288" s="24">
        <v>22042.51</v>
      </c>
      <c r="F288" s="24"/>
      <c r="G288" s="163">
        <f t="shared" ref="G288:G314" si="64">+E288+F288</f>
        <v>22042.51</v>
      </c>
      <c r="H288" s="116">
        <f t="shared" si="62"/>
        <v>0.12000014227056699</v>
      </c>
      <c r="I288" s="24">
        <v>24026.33</v>
      </c>
      <c r="J288" s="163">
        <f t="shared" ref="J288:J314" si="65">+I288+F288</f>
        <v>24026.33</v>
      </c>
      <c r="K288" s="116">
        <f t="shared" ref="K288:K314" si="66">J288/G288-1</f>
        <v>8.9999732335382943E-2</v>
      </c>
      <c r="L288" s="24">
        <v>26188.7</v>
      </c>
      <c r="M288" s="163">
        <f t="shared" ref="M288:M314" si="67">+L288+F288</f>
        <v>26188.7</v>
      </c>
      <c r="N288" s="116">
        <f t="shared" ref="N288:N314" si="68">M288/J288-1</f>
        <v>9.0000012486301406E-2</v>
      </c>
      <c r="O288" s="24">
        <v>28545.69</v>
      </c>
      <c r="P288" s="163">
        <f t="shared" ref="P288:P314" si="69">+O288+F288</f>
        <v>28545.69</v>
      </c>
      <c r="Q288" s="116">
        <f t="shared" ref="Q288:Q314" si="70">P288/M288-1</f>
        <v>9.0000267290854419E-2</v>
      </c>
    </row>
    <row r="289" spans="2:17" outlineLevel="1" x14ac:dyDescent="0.3">
      <c r="B289" s="32"/>
      <c r="C289" s="21" t="s">
        <v>25</v>
      </c>
      <c r="D289" s="162">
        <f t="shared" si="63"/>
        <v>19680.810000000001</v>
      </c>
      <c r="E289" s="24">
        <v>22042.51</v>
      </c>
      <c r="F289" s="24"/>
      <c r="G289" s="163">
        <f t="shared" si="64"/>
        <v>22042.51</v>
      </c>
      <c r="H289" s="116">
        <f t="shared" si="62"/>
        <v>0.12000014227056699</v>
      </c>
      <c r="I289" s="24">
        <v>24026.33</v>
      </c>
      <c r="J289" s="163">
        <f t="shared" si="65"/>
        <v>24026.33</v>
      </c>
      <c r="K289" s="116">
        <f t="shared" si="66"/>
        <v>8.9999732335382943E-2</v>
      </c>
      <c r="L289" s="24">
        <v>26188.7</v>
      </c>
      <c r="M289" s="163">
        <f t="shared" si="67"/>
        <v>26188.7</v>
      </c>
      <c r="N289" s="116">
        <f t="shared" si="68"/>
        <v>9.0000012486301406E-2</v>
      </c>
      <c r="O289" s="24">
        <v>28545.69</v>
      </c>
      <c r="P289" s="163">
        <f t="shared" si="69"/>
        <v>28545.69</v>
      </c>
      <c r="Q289" s="116">
        <f t="shared" si="70"/>
        <v>9.0000267290854419E-2</v>
      </c>
    </row>
    <row r="290" spans="2:17" outlineLevel="1" x14ac:dyDescent="0.3">
      <c r="B290" s="32"/>
      <c r="C290" s="21" t="s">
        <v>77</v>
      </c>
      <c r="D290" s="162">
        <f t="shared" si="63"/>
        <v>18977.93</v>
      </c>
      <c r="E290" s="24">
        <v>21255.279999999999</v>
      </c>
      <c r="F290" s="24"/>
      <c r="G290" s="163">
        <f t="shared" si="64"/>
        <v>21255.279999999999</v>
      </c>
      <c r="H290" s="116">
        <f t="shared" si="62"/>
        <v>0.11999991569154278</v>
      </c>
      <c r="I290" s="24">
        <v>23168.26</v>
      </c>
      <c r="J290" s="163">
        <f t="shared" si="65"/>
        <v>23168.26</v>
      </c>
      <c r="K290" s="116">
        <f t="shared" si="66"/>
        <v>9.0000225826241786E-2</v>
      </c>
      <c r="L290" s="24">
        <v>25253.4</v>
      </c>
      <c r="M290" s="163">
        <f t="shared" si="67"/>
        <v>25253.4</v>
      </c>
      <c r="N290" s="116">
        <f t="shared" si="68"/>
        <v>8.9999853247503481E-2</v>
      </c>
      <c r="O290" s="24">
        <v>27526.21</v>
      </c>
      <c r="P290" s="163">
        <f t="shared" si="69"/>
        <v>27526.21</v>
      </c>
      <c r="Q290" s="116">
        <f t="shared" si="70"/>
        <v>9.0000158394513141E-2</v>
      </c>
    </row>
    <row r="291" spans="2:17" outlineLevel="1" x14ac:dyDescent="0.3">
      <c r="B291" s="32"/>
      <c r="C291" s="21" t="s">
        <v>27</v>
      </c>
      <c r="D291" s="162">
        <f t="shared" si="63"/>
        <v>18977.93</v>
      </c>
      <c r="E291" s="24">
        <v>21255.279999999999</v>
      </c>
      <c r="F291" s="24"/>
      <c r="G291" s="163">
        <f t="shared" si="64"/>
        <v>21255.279999999999</v>
      </c>
      <c r="H291" s="116">
        <f t="shared" si="62"/>
        <v>0.11999991569154278</v>
      </c>
      <c r="I291" s="24">
        <v>23168.26</v>
      </c>
      <c r="J291" s="163">
        <f t="shared" si="65"/>
        <v>23168.26</v>
      </c>
      <c r="K291" s="116">
        <f t="shared" si="66"/>
        <v>9.0000225826241786E-2</v>
      </c>
      <c r="L291" s="24">
        <v>25253.4</v>
      </c>
      <c r="M291" s="163">
        <f t="shared" si="67"/>
        <v>25253.4</v>
      </c>
      <c r="N291" s="116">
        <f t="shared" si="68"/>
        <v>8.9999853247503481E-2</v>
      </c>
      <c r="O291" s="24">
        <v>27526.21</v>
      </c>
      <c r="P291" s="163">
        <f t="shared" si="69"/>
        <v>27526.21</v>
      </c>
      <c r="Q291" s="116">
        <f t="shared" si="70"/>
        <v>9.0000158394513141E-2</v>
      </c>
    </row>
    <row r="292" spans="2:17" outlineLevel="1" x14ac:dyDescent="0.3">
      <c r="B292" s="33"/>
      <c r="C292" s="21" t="s">
        <v>28</v>
      </c>
      <c r="D292" s="162">
        <f t="shared" si="63"/>
        <v>18977.93</v>
      </c>
      <c r="E292" s="24">
        <v>21255.279999999999</v>
      </c>
      <c r="F292" s="24"/>
      <c r="G292" s="163">
        <f t="shared" si="64"/>
        <v>21255.279999999999</v>
      </c>
      <c r="H292" s="116">
        <f t="shared" si="62"/>
        <v>0.11999991569154278</v>
      </c>
      <c r="I292" s="24">
        <v>23168.26</v>
      </c>
      <c r="J292" s="163">
        <f t="shared" si="65"/>
        <v>23168.26</v>
      </c>
      <c r="K292" s="116">
        <f t="shared" si="66"/>
        <v>9.0000225826241786E-2</v>
      </c>
      <c r="L292" s="24">
        <v>25253.4</v>
      </c>
      <c r="M292" s="163">
        <f t="shared" si="67"/>
        <v>25253.4</v>
      </c>
      <c r="N292" s="116">
        <f t="shared" si="68"/>
        <v>8.9999853247503481E-2</v>
      </c>
      <c r="O292" s="24">
        <v>27526.21</v>
      </c>
      <c r="P292" s="163">
        <f t="shared" si="69"/>
        <v>27526.21</v>
      </c>
      <c r="Q292" s="116">
        <f t="shared" si="70"/>
        <v>9.0000158394513141E-2</v>
      </c>
    </row>
    <row r="293" spans="2:17" ht="15" customHeight="1" outlineLevel="1" x14ac:dyDescent="0.3">
      <c r="B293" s="31" t="s">
        <v>29</v>
      </c>
      <c r="C293" s="21" t="s">
        <v>30</v>
      </c>
      <c r="D293" s="162">
        <f t="shared" si="63"/>
        <v>18275.03</v>
      </c>
      <c r="E293" s="24">
        <v>20468.03</v>
      </c>
      <c r="F293" s="24"/>
      <c r="G293" s="163">
        <f t="shared" si="64"/>
        <v>20468.03</v>
      </c>
      <c r="H293" s="116">
        <f t="shared" si="62"/>
        <v>0.11999980300989921</v>
      </c>
      <c r="I293" s="24">
        <v>22310.16</v>
      </c>
      <c r="J293" s="163">
        <f t="shared" si="65"/>
        <v>22310.16</v>
      </c>
      <c r="K293" s="116">
        <f t="shared" si="66"/>
        <v>9.0000356653766822E-2</v>
      </c>
      <c r="L293" s="24">
        <v>24318.07</v>
      </c>
      <c r="M293" s="163">
        <f t="shared" si="67"/>
        <v>24318.07</v>
      </c>
      <c r="N293" s="116">
        <f t="shared" si="68"/>
        <v>8.9999802780437177E-2</v>
      </c>
      <c r="O293" s="24">
        <v>26506.7</v>
      </c>
      <c r="P293" s="163">
        <f t="shared" si="69"/>
        <v>26506.7</v>
      </c>
      <c r="Q293" s="116">
        <f t="shared" si="70"/>
        <v>9.0000152150232271E-2</v>
      </c>
    </row>
    <row r="294" spans="2:17" outlineLevel="1" x14ac:dyDescent="0.3">
      <c r="B294" s="32"/>
      <c r="C294" s="21" t="s">
        <v>31</v>
      </c>
      <c r="D294" s="162">
        <f t="shared" si="63"/>
        <v>17400.419999999998</v>
      </c>
      <c r="E294" s="24">
        <v>19488.47</v>
      </c>
      <c r="F294" s="24"/>
      <c r="G294" s="163">
        <f t="shared" si="64"/>
        <v>19488.47</v>
      </c>
      <c r="H294" s="116">
        <f t="shared" si="62"/>
        <v>0.11999997701204923</v>
      </c>
      <c r="I294" s="24">
        <v>21242.43</v>
      </c>
      <c r="J294" s="163">
        <f t="shared" si="65"/>
        <v>21242.43</v>
      </c>
      <c r="K294" s="116">
        <f t="shared" si="66"/>
        <v>8.9999881981499774E-2</v>
      </c>
      <c r="L294" s="24">
        <v>23154.25</v>
      </c>
      <c r="M294" s="163">
        <f t="shared" si="67"/>
        <v>23154.25</v>
      </c>
      <c r="N294" s="116">
        <f t="shared" si="68"/>
        <v>9.0000061198271641E-2</v>
      </c>
      <c r="O294" s="24">
        <v>25238.13</v>
      </c>
      <c r="P294" s="163">
        <f t="shared" si="69"/>
        <v>25238.13</v>
      </c>
      <c r="Q294" s="116">
        <f t="shared" si="70"/>
        <v>8.9999892028461259E-2</v>
      </c>
    </row>
    <row r="295" spans="2:17" outlineLevel="1" x14ac:dyDescent="0.3">
      <c r="B295" s="32"/>
      <c r="C295" s="21" t="s">
        <v>32</v>
      </c>
      <c r="D295" s="162">
        <f t="shared" si="63"/>
        <v>17847.05</v>
      </c>
      <c r="E295" s="24">
        <v>19552.900000000001</v>
      </c>
      <c r="F295" s="24">
        <v>435.8</v>
      </c>
      <c r="G295" s="163">
        <f t="shared" si="64"/>
        <v>19988.7</v>
      </c>
      <c r="H295" s="116">
        <f t="shared" si="62"/>
        <v>0.12000022412667644</v>
      </c>
      <c r="I295" s="24">
        <v>21351.88</v>
      </c>
      <c r="J295" s="163">
        <f t="shared" si="65"/>
        <v>21787.68</v>
      </c>
      <c r="K295" s="116">
        <f t="shared" si="66"/>
        <v>8.9999849915202157E-2</v>
      </c>
      <c r="L295" s="24">
        <v>23312.77</v>
      </c>
      <c r="M295" s="163">
        <f t="shared" si="67"/>
        <v>23748.57</v>
      </c>
      <c r="N295" s="116">
        <f t="shared" si="68"/>
        <v>8.9999944923002229E-2</v>
      </c>
      <c r="O295" s="24">
        <v>25450.14</v>
      </c>
      <c r="P295" s="163">
        <f t="shared" si="69"/>
        <v>25885.94</v>
      </c>
      <c r="Q295" s="116">
        <f t="shared" si="70"/>
        <v>8.999994525986188E-2</v>
      </c>
    </row>
    <row r="296" spans="2:17" outlineLevel="1" x14ac:dyDescent="0.3">
      <c r="B296" s="32"/>
      <c r="C296" s="21" t="s">
        <v>198</v>
      </c>
      <c r="D296" s="162">
        <f t="shared" si="63"/>
        <v>16834.21</v>
      </c>
      <c r="E296" s="24">
        <v>19055.09</v>
      </c>
      <c r="F296" s="24">
        <v>435.8</v>
      </c>
      <c r="G296" s="163">
        <f t="shared" si="64"/>
        <v>19490.89</v>
      </c>
      <c r="H296" s="116">
        <f t="shared" si="62"/>
        <v>0.15781435541079736</v>
      </c>
      <c r="I296" s="24">
        <v>20809.27</v>
      </c>
      <c r="J296" s="163">
        <f t="shared" si="65"/>
        <v>21245.07</v>
      </c>
      <c r="K296" s="116">
        <f t="shared" si="66"/>
        <v>8.9999994869397915E-2</v>
      </c>
      <c r="L296" s="24">
        <v>22721.33</v>
      </c>
      <c r="M296" s="163">
        <f t="shared" si="67"/>
        <v>23157.13</v>
      </c>
      <c r="N296" s="116">
        <f t="shared" si="68"/>
        <v>9.0000174158051838E-2</v>
      </c>
      <c r="O296" s="24">
        <v>24805.47</v>
      </c>
      <c r="P296" s="163">
        <f t="shared" si="69"/>
        <v>25241.27</v>
      </c>
      <c r="Q296" s="116">
        <f t="shared" si="70"/>
        <v>8.9999926588484769E-2</v>
      </c>
    </row>
    <row r="297" spans="2:17" outlineLevel="1" x14ac:dyDescent="0.3">
      <c r="B297" s="32"/>
      <c r="C297" s="21" t="s">
        <v>34</v>
      </c>
      <c r="D297" s="162">
        <f t="shared" si="63"/>
        <v>16517.810000000001</v>
      </c>
      <c r="E297" s="24">
        <v>18499.95</v>
      </c>
      <c r="F297" s="24"/>
      <c r="G297" s="163">
        <f t="shared" si="64"/>
        <v>18499.95</v>
      </c>
      <c r="H297" s="116">
        <f t="shared" si="62"/>
        <v>0.12000016951399717</v>
      </c>
      <c r="I297" s="24">
        <v>20164.939999999999</v>
      </c>
      <c r="J297" s="163">
        <f t="shared" si="65"/>
        <v>20164.939999999999</v>
      </c>
      <c r="K297" s="116">
        <f t="shared" si="66"/>
        <v>8.9999702701899054E-2</v>
      </c>
      <c r="L297" s="24">
        <v>21979.79</v>
      </c>
      <c r="M297" s="163">
        <f t="shared" si="67"/>
        <v>21979.79</v>
      </c>
      <c r="N297" s="116">
        <f t="shared" si="68"/>
        <v>9.0000267791523481E-2</v>
      </c>
      <c r="O297" s="24">
        <v>23957.97</v>
      </c>
      <c r="P297" s="163">
        <f t="shared" si="69"/>
        <v>23957.97</v>
      </c>
      <c r="Q297" s="116">
        <f t="shared" si="70"/>
        <v>8.9999949954026048E-2</v>
      </c>
    </row>
    <row r="298" spans="2:17" outlineLevel="1" x14ac:dyDescent="0.3">
      <c r="B298" s="32"/>
      <c r="C298" s="21" t="s">
        <v>35</v>
      </c>
      <c r="D298" s="162">
        <f t="shared" si="63"/>
        <v>15360.282554535017</v>
      </c>
      <c r="E298" s="24">
        <v>17781.12</v>
      </c>
      <c r="F298" s="24"/>
      <c r="G298" s="163">
        <f t="shared" si="64"/>
        <v>17781.12</v>
      </c>
      <c r="H298" s="116">
        <f t="shared" si="62"/>
        <v>0.15760370532703827</v>
      </c>
      <c r="I298" s="24">
        <v>19381.419999999998</v>
      </c>
      <c r="J298" s="163">
        <f t="shared" si="65"/>
        <v>19381.419999999998</v>
      </c>
      <c r="K298" s="116">
        <f t="shared" si="66"/>
        <v>8.9999955008458477E-2</v>
      </c>
      <c r="L298" s="24">
        <v>21125.75</v>
      </c>
      <c r="M298" s="163">
        <f t="shared" si="67"/>
        <v>21125.75</v>
      </c>
      <c r="N298" s="116">
        <f t="shared" si="68"/>
        <v>9.000011351077486E-2</v>
      </c>
      <c r="O298" s="24">
        <v>23027.07</v>
      </c>
      <c r="P298" s="163">
        <f t="shared" si="69"/>
        <v>23027.07</v>
      </c>
      <c r="Q298" s="116">
        <f t="shared" si="70"/>
        <v>9.0000118338993795E-2</v>
      </c>
    </row>
    <row r="299" spans="2:17" outlineLevel="1" x14ac:dyDescent="0.3">
      <c r="B299" s="32"/>
      <c r="C299" s="21" t="s">
        <v>156</v>
      </c>
      <c r="D299" s="162">
        <f t="shared" si="63"/>
        <v>17852</v>
      </c>
      <c r="E299" s="24">
        <v>19558.439999999999</v>
      </c>
      <c r="F299" s="24">
        <v>435.8</v>
      </c>
      <c r="G299" s="163">
        <f t="shared" si="64"/>
        <v>19994.239999999998</v>
      </c>
      <c r="H299" s="116">
        <f t="shared" si="62"/>
        <v>0.11999999999999988</v>
      </c>
      <c r="I299" s="24">
        <v>21357.919999999998</v>
      </c>
      <c r="J299" s="163">
        <f t="shared" si="65"/>
        <v>21793.719999999998</v>
      </c>
      <c r="K299" s="116">
        <f t="shared" si="66"/>
        <v>8.9999919976953446E-2</v>
      </c>
      <c r="L299" s="24">
        <v>23319.360000000001</v>
      </c>
      <c r="M299" s="163">
        <f t="shared" si="67"/>
        <v>23755.16</v>
      </c>
      <c r="N299" s="116">
        <f t="shared" si="68"/>
        <v>9.0000238600844717E-2</v>
      </c>
      <c r="O299" s="24">
        <v>25457.32</v>
      </c>
      <c r="P299" s="163">
        <f t="shared" si="69"/>
        <v>25893.119999999999</v>
      </c>
      <c r="Q299" s="116">
        <f t="shared" si="70"/>
        <v>8.9999814777084186E-2</v>
      </c>
    </row>
    <row r="300" spans="2:17" outlineLevel="1" x14ac:dyDescent="0.3">
      <c r="B300" s="32"/>
      <c r="C300" s="21" t="s">
        <v>157</v>
      </c>
      <c r="D300" s="162">
        <f t="shared" si="63"/>
        <v>14946.5</v>
      </c>
      <c r="E300" s="24">
        <v>17781.12</v>
      </c>
      <c r="F300" s="24"/>
      <c r="G300" s="163">
        <f t="shared" si="64"/>
        <v>17781.12</v>
      </c>
      <c r="H300" s="116">
        <f t="shared" si="62"/>
        <v>0.18965108888368509</v>
      </c>
      <c r="I300" s="24">
        <v>19381.419999999998</v>
      </c>
      <c r="J300" s="163">
        <f t="shared" si="65"/>
        <v>19381.419999999998</v>
      </c>
      <c r="K300" s="116">
        <f t="shared" si="66"/>
        <v>8.9999955008458477E-2</v>
      </c>
      <c r="L300" s="24">
        <v>21125.75</v>
      </c>
      <c r="M300" s="163">
        <f t="shared" si="67"/>
        <v>21125.75</v>
      </c>
      <c r="N300" s="116">
        <f t="shared" si="68"/>
        <v>9.000011351077486E-2</v>
      </c>
      <c r="O300" s="24">
        <v>23027.07</v>
      </c>
      <c r="P300" s="163">
        <f t="shared" si="69"/>
        <v>23027.07</v>
      </c>
      <c r="Q300" s="116">
        <f t="shared" si="70"/>
        <v>9.0000118338993795E-2</v>
      </c>
    </row>
    <row r="301" spans="2:17" outlineLevel="1" x14ac:dyDescent="0.3">
      <c r="B301" s="33"/>
      <c r="C301" s="21" t="s">
        <v>158</v>
      </c>
      <c r="D301" s="162">
        <f t="shared" si="63"/>
        <v>14731.65</v>
      </c>
      <c r="E301" s="24">
        <v>17781.12</v>
      </c>
      <c r="F301" s="24"/>
      <c r="G301" s="163">
        <f t="shared" si="64"/>
        <v>17781.12</v>
      </c>
      <c r="H301" s="116">
        <f t="shared" si="62"/>
        <v>0.20700125240553491</v>
      </c>
      <c r="I301" s="24">
        <v>19381.419999999998</v>
      </c>
      <c r="J301" s="163">
        <f t="shared" si="65"/>
        <v>19381.419999999998</v>
      </c>
      <c r="K301" s="116">
        <f t="shared" si="66"/>
        <v>8.9999955008458477E-2</v>
      </c>
      <c r="L301" s="24">
        <v>21125.75</v>
      </c>
      <c r="M301" s="163">
        <f t="shared" si="67"/>
        <v>21125.75</v>
      </c>
      <c r="N301" s="116">
        <f t="shared" si="68"/>
        <v>9.000011351077486E-2</v>
      </c>
      <c r="O301" s="24">
        <v>23027.07</v>
      </c>
      <c r="P301" s="163">
        <f t="shared" si="69"/>
        <v>23027.07</v>
      </c>
      <c r="Q301" s="116">
        <f t="shared" si="70"/>
        <v>9.0000118338993795E-2</v>
      </c>
    </row>
    <row r="302" spans="2:17" outlineLevel="1" x14ac:dyDescent="0.3">
      <c r="B302" s="31" t="s">
        <v>39</v>
      </c>
      <c r="C302" s="21" t="s">
        <v>40</v>
      </c>
      <c r="D302" s="162">
        <f t="shared" si="63"/>
        <v>16714.810000000001</v>
      </c>
      <c r="E302" s="24">
        <v>18720.59</v>
      </c>
      <c r="F302" s="24"/>
      <c r="G302" s="163">
        <f t="shared" si="64"/>
        <v>18720.59</v>
      </c>
      <c r="H302" s="116">
        <f>G302/D302-1</f>
        <v>0.12000016751611287</v>
      </c>
      <c r="I302" s="24">
        <v>20405.439999999999</v>
      </c>
      <c r="J302" s="163">
        <f t="shared" si="65"/>
        <v>20405.439999999999</v>
      </c>
      <c r="K302" s="116">
        <f t="shared" si="66"/>
        <v>8.9999834406928381E-2</v>
      </c>
      <c r="L302" s="24">
        <v>22241.93</v>
      </c>
      <c r="M302" s="163">
        <f t="shared" si="67"/>
        <v>22241.93</v>
      </c>
      <c r="N302" s="116">
        <f t="shared" si="68"/>
        <v>9.0000019602615833E-2</v>
      </c>
      <c r="O302" s="24">
        <v>24243.7</v>
      </c>
      <c r="P302" s="163">
        <f t="shared" si="69"/>
        <v>24243.7</v>
      </c>
      <c r="Q302" s="116">
        <f t="shared" si="70"/>
        <v>8.9999833647529615E-2</v>
      </c>
    </row>
    <row r="303" spans="2:17" outlineLevel="1" x14ac:dyDescent="0.3">
      <c r="B303" s="32"/>
      <c r="C303" s="21" t="s">
        <v>199</v>
      </c>
      <c r="D303" s="165"/>
      <c r="E303" s="24">
        <v>21793.8</v>
      </c>
      <c r="F303" s="24">
        <v>450</v>
      </c>
      <c r="G303" s="163">
        <f t="shared" si="64"/>
        <v>22243.8</v>
      </c>
      <c r="H303" s="116"/>
      <c r="I303" s="24">
        <v>22147.61</v>
      </c>
      <c r="J303" s="163">
        <f t="shared" si="65"/>
        <v>22597.61</v>
      </c>
      <c r="K303" s="116">
        <f t="shared" si="66"/>
        <v>1.5906005268883971E-2</v>
      </c>
      <c r="L303" s="24">
        <v>22825.54</v>
      </c>
      <c r="M303" s="163">
        <f t="shared" si="67"/>
        <v>23275.54</v>
      </c>
      <c r="N303" s="116">
        <f t="shared" si="68"/>
        <v>3.0000075229194678E-2</v>
      </c>
      <c r="O303" s="24">
        <v>23523.81</v>
      </c>
      <c r="P303" s="163">
        <f t="shared" si="69"/>
        <v>23973.81</v>
      </c>
      <c r="Q303" s="116">
        <f t="shared" si="70"/>
        <v>3.0000163261518331E-2</v>
      </c>
    </row>
    <row r="304" spans="2:17" outlineLevel="1" x14ac:dyDescent="0.3">
      <c r="B304" s="32"/>
      <c r="C304" s="21" t="s">
        <v>41</v>
      </c>
      <c r="D304" s="162">
        <f>+L260+M260</f>
        <v>15389.66</v>
      </c>
      <c r="E304" s="24">
        <v>17345.32</v>
      </c>
      <c r="F304" s="24">
        <v>435.8</v>
      </c>
      <c r="G304" s="163">
        <f t="shared" si="64"/>
        <v>17781.12</v>
      </c>
      <c r="H304" s="116">
        <f>G304/D304-1</f>
        <v>0.15539394632500003</v>
      </c>
      <c r="I304" s="24">
        <v>18945.62</v>
      </c>
      <c r="J304" s="163">
        <f t="shared" si="65"/>
        <v>19381.419999999998</v>
      </c>
      <c r="K304" s="116">
        <f t="shared" si="66"/>
        <v>8.9999955008458477E-2</v>
      </c>
      <c r="L304" s="24">
        <v>20689.95</v>
      </c>
      <c r="M304" s="163">
        <f t="shared" si="67"/>
        <v>21125.75</v>
      </c>
      <c r="N304" s="116">
        <f t="shared" si="68"/>
        <v>9.000011351077486E-2</v>
      </c>
      <c r="O304" s="24">
        <v>22591.27</v>
      </c>
      <c r="P304" s="163">
        <f t="shared" si="69"/>
        <v>23027.07</v>
      </c>
      <c r="Q304" s="116">
        <f t="shared" si="70"/>
        <v>9.0000118338993795E-2</v>
      </c>
    </row>
    <row r="305" spans="2:17" outlineLevel="1" x14ac:dyDescent="0.3">
      <c r="B305" s="31" t="s">
        <v>42</v>
      </c>
      <c r="C305" s="21" t="s">
        <v>43</v>
      </c>
      <c r="D305" s="162">
        <f t="shared" ref="D305:D314" si="71">+L261+M261</f>
        <v>15052.68</v>
      </c>
      <c r="E305" s="24">
        <v>17304.84</v>
      </c>
      <c r="F305" s="24"/>
      <c r="G305" s="163">
        <f t="shared" si="64"/>
        <v>17304.84</v>
      </c>
      <c r="H305" s="116">
        <f t="shared" ref="H305:H314" si="72">G305/D305-1</f>
        <v>0.14961853968861361</v>
      </c>
      <c r="I305" s="24">
        <v>18862.28</v>
      </c>
      <c r="J305" s="163">
        <f t="shared" si="65"/>
        <v>18862.28</v>
      </c>
      <c r="K305" s="116">
        <f t="shared" si="66"/>
        <v>9.0000254264124946E-2</v>
      </c>
      <c r="L305" s="24">
        <v>20559.88</v>
      </c>
      <c r="M305" s="163">
        <f t="shared" si="67"/>
        <v>20559.88</v>
      </c>
      <c r="N305" s="116">
        <f t="shared" si="68"/>
        <v>8.9999724317527008E-2</v>
      </c>
      <c r="O305" s="24">
        <v>22410.27</v>
      </c>
      <c r="P305" s="163">
        <f t="shared" si="69"/>
        <v>22410.27</v>
      </c>
      <c r="Q305" s="116">
        <f t="shared" si="70"/>
        <v>9.0000038910732938E-2</v>
      </c>
    </row>
    <row r="306" spans="2:17" outlineLevel="1" x14ac:dyDescent="0.3">
      <c r="B306" s="32"/>
      <c r="C306" s="21" t="s">
        <v>44</v>
      </c>
      <c r="D306" s="162">
        <f t="shared" si="71"/>
        <v>15052.68</v>
      </c>
      <c r="E306" s="24">
        <v>17304.84</v>
      </c>
      <c r="F306" s="24"/>
      <c r="G306" s="163">
        <f t="shared" si="64"/>
        <v>17304.84</v>
      </c>
      <c r="H306" s="116">
        <f t="shared" si="72"/>
        <v>0.14961853968861361</v>
      </c>
      <c r="I306" s="24">
        <v>18862.28</v>
      </c>
      <c r="J306" s="163">
        <f t="shared" si="65"/>
        <v>18862.28</v>
      </c>
      <c r="K306" s="116">
        <f t="shared" si="66"/>
        <v>9.0000254264124946E-2</v>
      </c>
      <c r="L306" s="24">
        <v>20559.88</v>
      </c>
      <c r="M306" s="163">
        <f t="shared" si="67"/>
        <v>20559.88</v>
      </c>
      <c r="N306" s="116">
        <f t="shared" si="68"/>
        <v>8.9999724317527008E-2</v>
      </c>
      <c r="O306" s="24">
        <v>22410.27</v>
      </c>
      <c r="P306" s="163">
        <f t="shared" si="69"/>
        <v>22410.27</v>
      </c>
      <c r="Q306" s="116">
        <f t="shared" si="70"/>
        <v>9.0000038910732938E-2</v>
      </c>
    </row>
    <row r="307" spans="2:17" outlineLevel="1" x14ac:dyDescent="0.3">
      <c r="B307" s="32"/>
      <c r="C307" s="21" t="s">
        <v>45</v>
      </c>
      <c r="D307" s="162">
        <f t="shared" si="71"/>
        <v>14636.48</v>
      </c>
      <c r="E307" s="24">
        <v>17304.84</v>
      </c>
      <c r="F307" s="24"/>
      <c r="G307" s="163">
        <f t="shared" si="64"/>
        <v>17304.84</v>
      </c>
      <c r="H307" s="116">
        <f t="shared" si="72"/>
        <v>0.18230886114694256</v>
      </c>
      <c r="I307" s="24">
        <v>18862.28</v>
      </c>
      <c r="J307" s="163">
        <f t="shared" si="65"/>
        <v>18862.28</v>
      </c>
      <c r="K307" s="116">
        <f t="shared" si="66"/>
        <v>9.0000254264124946E-2</v>
      </c>
      <c r="L307" s="24">
        <v>20559.88</v>
      </c>
      <c r="M307" s="163">
        <f t="shared" si="67"/>
        <v>20559.88</v>
      </c>
      <c r="N307" s="116">
        <f t="shared" si="68"/>
        <v>8.9999724317527008E-2</v>
      </c>
      <c r="O307" s="24">
        <v>22410.27</v>
      </c>
      <c r="P307" s="163">
        <f t="shared" si="69"/>
        <v>22410.27</v>
      </c>
      <c r="Q307" s="116">
        <f t="shared" si="70"/>
        <v>9.0000038910732938E-2</v>
      </c>
    </row>
    <row r="308" spans="2:17" outlineLevel="1" x14ac:dyDescent="0.3">
      <c r="B308" s="32"/>
      <c r="C308" s="21" t="s">
        <v>46</v>
      </c>
      <c r="D308" s="162">
        <f t="shared" si="71"/>
        <v>14636.48</v>
      </c>
      <c r="E308" s="24">
        <v>17304.84</v>
      </c>
      <c r="F308" s="24"/>
      <c r="G308" s="163">
        <f t="shared" si="64"/>
        <v>17304.84</v>
      </c>
      <c r="H308" s="116">
        <f t="shared" si="72"/>
        <v>0.18230886114694256</v>
      </c>
      <c r="I308" s="24">
        <v>18862.28</v>
      </c>
      <c r="J308" s="163">
        <f t="shared" si="65"/>
        <v>18862.28</v>
      </c>
      <c r="K308" s="116">
        <f t="shared" si="66"/>
        <v>9.0000254264124946E-2</v>
      </c>
      <c r="L308" s="24">
        <v>20559.88</v>
      </c>
      <c r="M308" s="163">
        <f t="shared" si="67"/>
        <v>20559.88</v>
      </c>
      <c r="N308" s="116">
        <f t="shared" si="68"/>
        <v>8.9999724317527008E-2</v>
      </c>
      <c r="O308" s="24">
        <v>22410.27</v>
      </c>
      <c r="P308" s="163">
        <f t="shared" si="69"/>
        <v>22410.27</v>
      </c>
      <c r="Q308" s="116">
        <f t="shared" si="70"/>
        <v>9.0000038910732938E-2</v>
      </c>
    </row>
    <row r="309" spans="2:17" outlineLevel="1" x14ac:dyDescent="0.3">
      <c r="B309" s="31" t="s">
        <v>47</v>
      </c>
      <c r="C309" s="21" t="s">
        <v>48</v>
      </c>
      <c r="D309" s="162">
        <f t="shared" si="71"/>
        <v>17250.349999999999</v>
      </c>
      <c r="E309" s="24">
        <v>18802.88</v>
      </c>
      <c r="F309" s="24"/>
      <c r="G309" s="163">
        <f t="shared" si="64"/>
        <v>18802.88</v>
      </c>
      <c r="H309" s="116">
        <f t="shared" si="72"/>
        <v>8.9999913045242685E-2</v>
      </c>
      <c r="I309" s="24">
        <v>20495.14</v>
      </c>
      <c r="J309" s="163">
        <f t="shared" si="65"/>
        <v>20495.14</v>
      </c>
      <c r="K309" s="116">
        <f t="shared" si="66"/>
        <v>9.0000042546673598E-2</v>
      </c>
      <c r="L309" s="24">
        <v>22339.7</v>
      </c>
      <c r="M309" s="163">
        <f t="shared" si="67"/>
        <v>22339.7</v>
      </c>
      <c r="N309" s="116">
        <f t="shared" si="68"/>
        <v>8.9999873140656828E-2</v>
      </c>
      <c r="O309" s="24">
        <v>24350.28</v>
      </c>
      <c r="P309" s="163">
        <f t="shared" si="69"/>
        <v>24350.28</v>
      </c>
      <c r="Q309" s="116">
        <f t="shared" si="70"/>
        <v>9.0000313343509442E-2</v>
      </c>
    </row>
    <row r="310" spans="2:17" outlineLevel="1" x14ac:dyDescent="0.3">
      <c r="B310" s="32"/>
      <c r="C310" s="21" t="s">
        <v>49</v>
      </c>
      <c r="D310" s="162">
        <f t="shared" si="71"/>
        <v>14738.91</v>
      </c>
      <c r="E310" s="24">
        <v>17304.84</v>
      </c>
      <c r="F310" s="24"/>
      <c r="G310" s="163">
        <f t="shared" si="64"/>
        <v>17304.84</v>
      </c>
      <c r="H310" s="116">
        <f t="shared" si="72"/>
        <v>0.17409224969824777</v>
      </c>
      <c r="I310" s="24">
        <v>18862.28</v>
      </c>
      <c r="J310" s="163">
        <f t="shared" si="65"/>
        <v>18862.28</v>
      </c>
      <c r="K310" s="116">
        <f t="shared" si="66"/>
        <v>9.0000254264124946E-2</v>
      </c>
      <c r="L310" s="24">
        <v>20559.88</v>
      </c>
      <c r="M310" s="163">
        <f t="shared" si="67"/>
        <v>20559.88</v>
      </c>
      <c r="N310" s="116">
        <f t="shared" si="68"/>
        <v>8.9999724317527008E-2</v>
      </c>
      <c r="O310" s="24">
        <v>22410.27</v>
      </c>
      <c r="P310" s="163">
        <f t="shared" si="69"/>
        <v>22410.27</v>
      </c>
      <c r="Q310" s="116">
        <f t="shared" si="70"/>
        <v>9.0000038910732938E-2</v>
      </c>
    </row>
    <row r="311" spans="2:17" outlineLevel="1" x14ac:dyDescent="0.3">
      <c r="B311" s="32"/>
      <c r="C311" s="21" t="s">
        <v>51</v>
      </c>
      <c r="D311" s="162">
        <f t="shared" si="71"/>
        <v>14636.48</v>
      </c>
      <c r="E311" s="24">
        <v>17304.84</v>
      </c>
      <c r="F311" s="24"/>
      <c r="G311" s="163">
        <f t="shared" si="64"/>
        <v>17304.84</v>
      </c>
      <c r="H311" s="116">
        <f t="shared" si="72"/>
        <v>0.18230886114694256</v>
      </c>
      <c r="I311" s="24">
        <v>18862.28</v>
      </c>
      <c r="J311" s="163">
        <f t="shared" si="65"/>
        <v>18862.28</v>
      </c>
      <c r="K311" s="116">
        <f t="shared" si="66"/>
        <v>9.0000254264124946E-2</v>
      </c>
      <c r="L311" s="24">
        <v>20559.88</v>
      </c>
      <c r="M311" s="163">
        <f t="shared" si="67"/>
        <v>20559.88</v>
      </c>
      <c r="N311" s="116">
        <f t="shared" si="68"/>
        <v>8.9999724317527008E-2</v>
      </c>
      <c r="O311" s="24">
        <v>22410.27</v>
      </c>
      <c r="P311" s="163">
        <f t="shared" si="69"/>
        <v>22410.27</v>
      </c>
      <c r="Q311" s="116">
        <f t="shared" si="70"/>
        <v>9.0000038910732938E-2</v>
      </c>
    </row>
    <row r="312" spans="2:17" outlineLevel="1" x14ac:dyDescent="0.3">
      <c r="B312" s="32"/>
      <c r="C312" s="21" t="s">
        <v>50</v>
      </c>
      <c r="D312" s="162">
        <f t="shared" si="71"/>
        <v>14636.48</v>
      </c>
      <c r="E312" s="24">
        <v>17304.84</v>
      </c>
      <c r="F312" s="24"/>
      <c r="G312" s="163">
        <f t="shared" si="64"/>
        <v>17304.84</v>
      </c>
      <c r="H312" s="116">
        <f t="shared" si="72"/>
        <v>0.18230886114694256</v>
      </c>
      <c r="I312" s="24">
        <v>18862.28</v>
      </c>
      <c r="J312" s="163">
        <f t="shared" si="65"/>
        <v>18862.28</v>
      </c>
      <c r="K312" s="116">
        <f t="shared" si="66"/>
        <v>9.0000254264124946E-2</v>
      </c>
      <c r="L312" s="24">
        <v>20559.88</v>
      </c>
      <c r="M312" s="163">
        <f t="shared" si="67"/>
        <v>20559.88</v>
      </c>
      <c r="N312" s="116">
        <f t="shared" si="68"/>
        <v>8.9999724317527008E-2</v>
      </c>
      <c r="O312" s="24">
        <v>22410.27</v>
      </c>
      <c r="P312" s="163">
        <f t="shared" si="69"/>
        <v>22410.27</v>
      </c>
      <c r="Q312" s="116">
        <f t="shared" si="70"/>
        <v>9.0000038910732938E-2</v>
      </c>
    </row>
    <row r="313" spans="2:17" outlineLevel="1" x14ac:dyDescent="0.3">
      <c r="B313" s="32"/>
      <c r="C313" s="21" t="s">
        <v>52</v>
      </c>
      <c r="D313" s="162">
        <f t="shared" si="71"/>
        <v>14636.48</v>
      </c>
      <c r="E313" s="24">
        <v>17304.84</v>
      </c>
      <c r="F313" s="24"/>
      <c r="G313" s="163">
        <f t="shared" si="64"/>
        <v>17304.84</v>
      </c>
      <c r="H313" s="116">
        <f t="shared" si="72"/>
        <v>0.18230886114694256</v>
      </c>
      <c r="I313" s="24">
        <v>18862.28</v>
      </c>
      <c r="J313" s="163">
        <f t="shared" si="65"/>
        <v>18862.28</v>
      </c>
      <c r="K313" s="116">
        <f t="shared" si="66"/>
        <v>9.0000254264124946E-2</v>
      </c>
      <c r="L313" s="24">
        <v>20559.88</v>
      </c>
      <c r="M313" s="163">
        <f t="shared" si="67"/>
        <v>20559.88</v>
      </c>
      <c r="N313" s="116">
        <f t="shared" si="68"/>
        <v>8.9999724317527008E-2</v>
      </c>
      <c r="O313" s="24">
        <v>22410.27</v>
      </c>
      <c r="P313" s="163">
        <f t="shared" si="69"/>
        <v>22410.27</v>
      </c>
      <c r="Q313" s="116">
        <f t="shared" si="70"/>
        <v>9.0000038910732938E-2</v>
      </c>
    </row>
    <row r="314" spans="2:17" outlineLevel="1" x14ac:dyDescent="0.3">
      <c r="B314" s="33"/>
      <c r="C314" s="21" t="s">
        <v>53</v>
      </c>
      <c r="D314" s="162">
        <f t="shared" si="71"/>
        <v>14636.48</v>
      </c>
      <c r="E314" s="24">
        <v>17304.84</v>
      </c>
      <c r="F314" s="24"/>
      <c r="G314" s="163">
        <f t="shared" si="64"/>
        <v>17304.84</v>
      </c>
      <c r="H314" s="116">
        <f t="shared" si="72"/>
        <v>0.18230886114694256</v>
      </c>
      <c r="I314" s="24">
        <v>18862.28</v>
      </c>
      <c r="J314" s="163">
        <f t="shared" si="65"/>
        <v>18862.28</v>
      </c>
      <c r="K314" s="116">
        <f t="shared" si="66"/>
        <v>9.0000254264124946E-2</v>
      </c>
      <c r="L314" s="24">
        <v>20559.88</v>
      </c>
      <c r="M314" s="163">
        <f t="shared" si="67"/>
        <v>20559.88</v>
      </c>
      <c r="N314" s="116">
        <f t="shared" si="68"/>
        <v>8.9999724317527008E-2</v>
      </c>
      <c r="O314" s="24">
        <v>22410.27</v>
      </c>
      <c r="P314" s="163">
        <f t="shared" si="69"/>
        <v>22410.27</v>
      </c>
      <c r="Q314" s="116">
        <f t="shared" si="70"/>
        <v>9.0000038910732938E-2</v>
      </c>
    </row>
    <row r="315" spans="2:17" outlineLevel="1" x14ac:dyDescent="0.3"/>
    <row r="316" spans="2:17" outlineLevel="1" x14ac:dyDescent="0.3"/>
    <row r="317" spans="2:17" outlineLevel="1" x14ac:dyDescent="0.3"/>
    <row r="318" spans="2:17" outlineLevel="1" x14ac:dyDescent="0.3"/>
    <row r="319" spans="2:17" outlineLevel="1" x14ac:dyDescent="0.3"/>
    <row r="320" spans="2:17" outlineLevel="1" x14ac:dyDescent="0.3"/>
    <row r="321" outlineLevel="1" x14ac:dyDescent="0.3"/>
    <row r="322" outlineLevel="1" x14ac:dyDescent="0.3"/>
    <row r="323" outlineLevel="1" x14ac:dyDescent="0.3"/>
    <row r="324" outlineLevel="1" x14ac:dyDescent="0.3"/>
    <row r="325" outlineLevel="1" x14ac:dyDescent="0.3"/>
    <row r="326" outlineLevel="1" x14ac:dyDescent="0.3"/>
    <row r="327" outlineLevel="1" x14ac:dyDescent="0.3"/>
    <row r="328" outlineLevel="1" x14ac:dyDescent="0.3"/>
    <row r="329" outlineLevel="1" x14ac:dyDescent="0.3"/>
    <row r="330" outlineLevel="1" x14ac:dyDescent="0.3"/>
    <row r="331" outlineLevel="1" x14ac:dyDescent="0.3"/>
    <row r="332" outlineLevel="1" x14ac:dyDescent="0.3"/>
    <row r="333" outlineLevel="1" x14ac:dyDescent="0.3"/>
    <row r="334" outlineLevel="1" x14ac:dyDescent="0.3"/>
    <row r="335" outlineLevel="1" x14ac:dyDescent="0.3"/>
    <row r="336" outlineLevel="1" x14ac:dyDescent="0.3"/>
    <row r="338" spans="2:12" ht="18" x14ac:dyDescent="0.3">
      <c r="B338" s="7" t="s">
        <v>200</v>
      </c>
      <c r="C338" s="8"/>
      <c r="D338" s="9"/>
      <c r="E338" s="9"/>
      <c r="F338" s="9"/>
      <c r="G338" s="8"/>
      <c r="H338" s="8"/>
      <c r="I338" s="8"/>
      <c r="J338" s="8"/>
      <c r="K338" s="8"/>
      <c r="L338" s="8"/>
    </row>
    <row r="339" spans="2:12" hidden="1" outlineLevel="1" x14ac:dyDescent="0.3"/>
    <row r="340" spans="2:12" hidden="1" outlineLevel="1" x14ac:dyDescent="0.3">
      <c r="D340" s="166">
        <v>1695</v>
      </c>
      <c r="E340" s="1" t="s">
        <v>201</v>
      </c>
    </row>
    <row r="341" spans="2:12" hidden="1" outlineLevel="1" x14ac:dyDescent="0.3">
      <c r="D341" s="166">
        <v>37.5</v>
      </c>
      <c r="E341" s="1" t="s">
        <v>202</v>
      </c>
    </row>
    <row r="342" spans="2:12" hidden="1" outlineLevel="1" x14ac:dyDescent="0.3">
      <c r="D342" s="1"/>
    </row>
    <row r="343" spans="2:12" hidden="1" outlineLevel="1" x14ac:dyDescent="0.3">
      <c r="E343" s="66">
        <v>0.01</v>
      </c>
      <c r="F343" s="66">
        <v>0.02</v>
      </c>
      <c r="G343" s="75">
        <v>2.5000000000000001E-2</v>
      </c>
    </row>
    <row r="344" spans="2:12" hidden="1" outlineLevel="1" x14ac:dyDescent="0.3">
      <c r="B344" t="s">
        <v>203</v>
      </c>
      <c r="C344" t="s">
        <v>204</v>
      </c>
      <c r="D344" s="167">
        <v>44562</v>
      </c>
      <c r="E344" s="167">
        <v>44805</v>
      </c>
      <c r="F344" s="167">
        <v>45170</v>
      </c>
      <c r="G344" s="167">
        <v>45536</v>
      </c>
    </row>
    <row r="345" spans="2:12" hidden="1" outlineLevel="1" x14ac:dyDescent="0.3">
      <c r="B345" s="168" t="s">
        <v>205</v>
      </c>
      <c r="C345" s="168" t="s">
        <v>206</v>
      </c>
      <c r="D345" s="169">
        <v>25431.19</v>
      </c>
      <c r="E345" s="170">
        <f>+D345*(1+$E$648)</f>
        <v>25431.19</v>
      </c>
      <c r="F345" s="170">
        <f>+E345*(1+$F$648)</f>
        <v>25431.19</v>
      </c>
      <c r="G345" s="171">
        <f>+F345*(1+$G$648)</f>
        <v>25431.19</v>
      </c>
    </row>
    <row r="346" spans="2:12" hidden="1" outlineLevel="1" x14ac:dyDescent="0.3">
      <c r="B346" s="172" t="s">
        <v>207</v>
      </c>
      <c r="C346" s="168" t="s">
        <v>208</v>
      </c>
      <c r="D346" s="169">
        <v>23009.16</v>
      </c>
      <c r="E346" s="170">
        <f>+D346*(1+$E$648)</f>
        <v>23009.16</v>
      </c>
      <c r="F346" s="170">
        <f>+E346*(1+$F$648)</f>
        <v>23009.16</v>
      </c>
      <c r="G346" s="171">
        <f>+F346*(1+$G$648)</f>
        <v>23009.16</v>
      </c>
    </row>
    <row r="347" spans="2:12" hidden="1" outlineLevel="1" x14ac:dyDescent="0.3">
      <c r="B347" s="172"/>
      <c r="C347" s="168" t="s">
        <v>209</v>
      </c>
      <c r="D347" s="169">
        <v>23009.16</v>
      </c>
      <c r="E347" s="170">
        <f>+D347*(1+$E$648)</f>
        <v>23009.16</v>
      </c>
      <c r="F347" s="170">
        <f>+E347*(1+$F$648)</f>
        <v>23009.16</v>
      </c>
      <c r="G347" s="171">
        <f>+F347*(1+$G$648)</f>
        <v>23009.16</v>
      </c>
    </row>
    <row r="348" spans="2:12" hidden="1" outlineLevel="1" x14ac:dyDescent="0.3">
      <c r="B348" s="172"/>
      <c r="C348" s="168" t="s">
        <v>210</v>
      </c>
      <c r="D348" s="169">
        <v>21798.15</v>
      </c>
      <c r="E348" s="170">
        <f>+D348*(1+$E$648)</f>
        <v>21798.15</v>
      </c>
      <c r="F348" s="170">
        <f>+E348*(1+$F$648)</f>
        <v>21798.15</v>
      </c>
      <c r="G348" s="171">
        <f>+F348*(1+$G$648)</f>
        <v>21798.15</v>
      </c>
    </row>
    <row r="349" spans="2:12" hidden="1" outlineLevel="1" x14ac:dyDescent="0.3">
      <c r="B349" s="172"/>
      <c r="C349" s="168" t="s">
        <v>211</v>
      </c>
      <c r="D349" s="170"/>
      <c r="E349" s="170"/>
      <c r="F349" s="170"/>
      <c r="G349" s="171"/>
    </row>
    <row r="350" spans="2:12" hidden="1" outlineLevel="1" x14ac:dyDescent="0.3">
      <c r="B350" s="172"/>
      <c r="C350" s="168" t="s">
        <v>212</v>
      </c>
      <c r="D350" s="169">
        <v>21798.18</v>
      </c>
      <c r="E350" s="170">
        <f>+D350*(1+$E$648)</f>
        <v>21798.18</v>
      </c>
      <c r="F350" s="170">
        <f>+E350*(1+$F$648)</f>
        <v>21798.18</v>
      </c>
      <c r="G350" s="171">
        <f>+F350*(1+$G$648)</f>
        <v>21798.18</v>
      </c>
    </row>
    <row r="351" spans="2:12" hidden="1" outlineLevel="1" x14ac:dyDescent="0.3">
      <c r="B351" s="172"/>
      <c r="C351" s="168" t="s">
        <v>213</v>
      </c>
      <c r="D351" s="169">
        <v>20344.939999999999</v>
      </c>
      <c r="E351" s="170">
        <f>+D351*(1+$E$648)</f>
        <v>20344.939999999999</v>
      </c>
      <c r="F351" s="170">
        <f>+E351*(1+$F$648)</f>
        <v>20344.939999999999</v>
      </c>
      <c r="G351" s="171">
        <f>+F351*(1+$G$648)</f>
        <v>20344.939999999999</v>
      </c>
    </row>
    <row r="352" spans="2:12" hidden="1" outlineLevel="1" x14ac:dyDescent="0.3">
      <c r="B352" s="172" t="s">
        <v>214</v>
      </c>
      <c r="C352" s="168" t="s">
        <v>215</v>
      </c>
      <c r="D352" s="170"/>
      <c r="E352" s="170"/>
      <c r="F352" s="170"/>
      <c r="G352" s="171"/>
    </row>
    <row r="353" spans="2:10" hidden="1" outlineLevel="1" x14ac:dyDescent="0.3">
      <c r="B353" s="172"/>
      <c r="C353" s="168" t="s">
        <v>212</v>
      </c>
      <c r="D353" s="169">
        <v>21798.18</v>
      </c>
      <c r="E353" s="170">
        <f t="shared" ref="E353:E362" si="73">+D353*(1+$E$648)</f>
        <v>21798.18</v>
      </c>
      <c r="F353" s="170">
        <f t="shared" ref="F353:F362" si="74">+E353*(1+$F$648)</f>
        <v>21798.18</v>
      </c>
      <c r="G353" s="171">
        <f t="shared" ref="G353:G362" si="75">+F353*(1+$G$648)</f>
        <v>21798.18</v>
      </c>
      <c r="H353" s="110"/>
    </row>
    <row r="354" spans="2:10" hidden="1" outlineLevel="1" x14ac:dyDescent="0.3">
      <c r="B354" s="172"/>
      <c r="C354" s="168" t="s">
        <v>213</v>
      </c>
      <c r="D354" s="169">
        <v>20344.939999999999</v>
      </c>
      <c r="E354" s="170">
        <f t="shared" si="73"/>
        <v>20344.939999999999</v>
      </c>
      <c r="F354" s="170">
        <f t="shared" si="74"/>
        <v>20344.939999999999</v>
      </c>
      <c r="G354" s="171">
        <f t="shared" si="75"/>
        <v>20344.939999999999</v>
      </c>
    </row>
    <row r="355" spans="2:10" hidden="1" outlineLevel="1" x14ac:dyDescent="0.3">
      <c r="B355" s="172"/>
      <c r="C355" s="168" t="s">
        <v>216</v>
      </c>
      <c r="D355" s="169">
        <v>20450.580000000002</v>
      </c>
      <c r="E355" s="170">
        <f t="shared" si="73"/>
        <v>20450.580000000002</v>
      </c>
      <c r="F355" s="170">
        <f t="shared" si="74"/>
        <v>20450.580000000002</v>
      </c>
      <c r="G355" s="171">
        <f t="shared" si="75"/>
        <v>20450.580000000002</v>
      </c>
    </row>
    <row r="356" spans="2:10" hidden="1" outlineLevel="1" x14ac:dyDescent="0.3">
      <c r="B356" s="172"/>
      <c r="C356" s="168" t="s">
        <v>217</v>
      </c>
      <c r="D356" s="169">
        <v>20450.580000000002</v>
      </c>
      <c r="E356" s="170">
        <f t="shared" si="73"/>
        <v>20450.580000000002</v>
      </c>
      <c r="F356" s="170">
        <f t="shared" si="74"/>
        <v>20450.580000000002</v>
      </c>
      <c r="G356" s="171">
        <f t="shared" si="75"/>
        <v>20450.580000000002</v>
      </c>
    </row>
    <row r="357" spans="2:10" hidden="1" outlineLevel="1" x14ac:dyDescent="0.3">
      <c r="B357" s="172"/>
      <c r="C357" s="168" t="s">
        <v>218</v>
      </c>
      <c r="D357" s="169">
        <v>19739.43</v>
      </c>
      <c r="E357" s="170">
        <f t="shared" si="73"/>
        <v>19739.43</v>
      </c>
      <c r="F357" s="170">
        <f t="shared" si="74"/>
        <v>19739.43</v>
      </c>
      <c r="G357" s="171">
        <f t="shared" si="75"/>
        <v>19739.43</v>
      </c>
    </row>
    <row r="358" spans="2:10" hidden="1" outlineLevel="1" x14ac:dyDescent="0.3">
      <c r="B358" s="172"/>
      <c r="C358" s="168" t="s">
        <v>219</v>
      </c>
      <c r="D358" s="173">
        <v>19739.43</v>
      </c>
      <c r="E358" s="171">
        <f t="shared" si="73"/>
        <v>19739.43</v>
      </c>
      <c r="F358" s="171">
        <f t="shared" si="74"/>
        <v>19739.43</v>
      </c>
      <c r="G358" s="171">
        <f t="shared" si="75"/>
        <v>19739.43</v>
      </c>
    </row>
    <row r="359" spans="2:10" hidden="1" outlineLevel="1" x14ac:dyDescent="0.3">
      <c r="B359" s="172"/>
      <c r="C359" s="168" t="s">
        <v>220</v>
      </c>
      <c r="D359" s="173">
        <v>18770.64</v>
      </c>
      <c r="E359" s="171">
        <f t="shared" si="73"/>
        <v>18770.64</v>
      </c>
      <c r="F359" s="171">
        <f t="shared" si="74"/>
        <v>18770.64</v>
      </c>
      <c r="G359" s="171">
        <f t="shared" si="75"/>
        <v>18770.64</v>
      </c>
    </row>
    <row r="360" spans="2:10" hidden="1" outlineLevel="1" x14ac:dyDescent="0.3">
      <c r="B360" s="172"/>
      <c r="C360" s="168" t="s">
        <v>221</v>
      </c>
      <c r="D360" s="173">
        <v>16106.42</v>
      </c>
      <c r="E360" s="171">
        <f t="shared" si="73"/>
        <v>16106.42</v>
      </c>
      <c r="F360" s="171">
        <f t="shared" si="74"/>
        <v>16106.42</v>
      </c>
      <c r="G360" s="171">
        <f t="shared" si="75"/>
        <v>16106.42</v>
      </c>
    </row>
    <row r="361" spans="2:10" hidden="1" outlineLevel="1" x14ac:dyDescent="0.3">
      <c r="B361" s="172" t="s">
        <v>222</v>
      </c>
      <c r="C361" s="168" t="s">
        <v>223</v>
      </c>
      <c r="D361" s="173">
        <v>16590.810000000001</v>
      </c>
      <c r="E361" s="171">
        <f t="shared" si="73"/>
        <v>16590.810000000001</v>
      </c>
      <c r="F361" s="171">
        <f t="shared" si="74"/>
        <v>16590.810000000001</v>
      </c>
      <c r="G361" s="171">
        <f t="shared" si="75"/>
        <v>16590.810000000001</v>
      </c>
    </row>
    <row r="362" spans="2:10" hidden="1" outlineLevel="1" x14ac:dyDescent="0.3">
      <c r="B362" s="172"/>
      <c r="C362" s="168" t="s">
        <v>224</v>
      </c>
      <c r="D362" s="173">
        <v>16590.810000000001</v>
      </c>
      <c r="E362" s="171">
        <f t="shared" si="73"/>
        <v>16590.810000000001</v>
      </c>
      <c r="F362" s="171">
        <f t="shared" si="74"/>
        <v>16590.810000000001</v>
      </c>
      <c r="G362" s="171">
        <f t="shared" si="75"/>
        <v>16590.810000000001</v>
      </c>
      <c r="J362" s="29"/>
    </row>
    <row r="363" spans="2:10" hidden="1" outlineLevel="1" x14ac:dyDescent="0.3">
      <c r="B363" s="172"/>
      <c r="C363" s="168" t="s">
        <v>225</v>
      </c>
      <c r="D363" s="173">
        <v>14210</v>
      </c>
      <c r="E363" s="174">
        <v>15120</v>
      </c>
      <c r="F363" s="174">
        <v>15120</v>
      </c>
      <c r="G363" s="174">
        <v>15120</v>
      </c>
    </row>
    <row r="364" spans="2:10" hidden="1" outlineLevel="1" x14ac:dyDescent="0.3">
      <c r="B364" s="172" t="s">
        <v>226</v>
      </c>
      <c r="C364" s="168" t="s">
        <v>227</v>
      </c>
      <c r="D364" s="173">
        <v>16106.42</v>
      </c>
      <c r="E364" s="171">
        <f t="shared" ref="E364:E370" si="76">+D364*(1+$E$648)</f>
        <v>16106.42</v>
      </c>
      <c r="F364" s="171">
        <f t="shared" ref="F364:F370" si="77">+E364*(1+$F$648)</f>
        <v>16106.42</v>
      </c>
      <c r="G364" s="171">
        <f t="shared" ref="G364:G370" si="78">+F364*(1+$G$648)</f>
        <v>16106.42</v>
      </c>
    </row>
    <row r="365" spans="2:10" hidden="1" outlineLevel="1" x14ac:dyDescent="0.3">
      <c r="B365" s="172"/>
      <c r="C365" s="168" t="s">
        <v>228</v>
      </c>
      <c r="D365" s="173">
        <v>16590.810000000001</v>
      </c>
      <c r="E365" s="171">
        <f t="shared" si="76"/>
        <v>16590.810000000001</v>
      </c>
      <c r="F365" s="171">
        <f t="shared" si="77"/>
        <v>16590.810000000001</v>
      </c>
      <c r="G365" s="171">
        <f t="shared" si="78"/>
        <v>16590.810000000001</v>
      </c>
    </row>
    <row r="366" spans="2:10" hidden="1" outlineLevel="1" x14ac:dyDescent="0.3">
      <c r="B366" s="172"/>
      <c r="C366" s="168" t="s">
        <v>229</v>
      </c>
      <c r="D366" s="173">
        <v>15379.82</v>
      </c>
      <c r="E366" s="171">
        <f t="shared" si="76"/>
        <v>15379.82</v>
      </c>
      <c r="F366" s="171">
        <f t="shared" si="77"/>
        <v>15379.82</v>
      </c>
      <c r="G366" s="171">
        <f t="shared" si="78"/>
        <v>15379.82</v>
      </c>
    </row>
    <row r="367" spans="2:10" hidden="1" outlineLevel="1" x14ac:dyDescent="0.3">
      <c r="B367" s="172"/>
      <c r="C367" s="168" t="s">
        <v>230</v>
      </c>
      <c r="D367" s="173">
        <v>15379.82</v>
      </c>
      <c r="E367" s="171">
        <f t="shared" si="76"/>
        <v>15379.82</v>
      </c>
      <c r="F367" s="171">
        <f t="shared" si="77"/>
        <v>15379.82</v>
      </c>
      <c r="G367" s="171">
        <f t="shared" si="78"/>
        <v>15379.82</v>
      </c>
    </row>
    <row r="368" spans="2:10" hidden="1" outlineLevel="1" x14ac:dyDescent="0.3">
      <c r="B368" s="172"/>
      <c r="C368" s="168" t="s">
        <v>46</v>
      </c>
      <c r="D368" s="173">
        <v>15379.82</v>
      </c>
      <c r="E368" s="171">
        <f t="shared" si="76"/>
        <v>15379.82</v>
      </c>
      <c r="F368" s="171">
        <f t="shared" si="77"/>
        <v>15379.82</v>
      </c>
      <c r="G368" s="171">
        <f t="shared" si="78"/>
        <v>15379.82</v>
      </c>
    </row>
    <row r="369" spans="2:7" hidden="1" outlineLevel="1" x14ac:dyDescent="0.3">
      <c r="B369" s="175" t="s">
        <v>231</v>
      </c>
      <c r="C369" s="168" t="s">
        <v>232</v>
      </c>
      <c r="D369" s="173">
        <v>17052.21</v>
      </c>
      <c r="E369" s="171">
        <f t="shared" si="76"/>
        <v>17052.21</v>
      </c>
      <c r="F369" s="171">
        <f t="shared" si="77"/>
        <v>17052.21</v>
      </c>
      <c r="G369" s="171">
        <f t="shared" si="78"/>
        <v>17052.21</v>
      </c>
    </row>
    <row r="370" spans="2:7" hidden="1" outlineLevel="1" x14ac:dyDescent="0.3">
      <c r="B370" s="175"/>
      <c r="C370" s="168" t="s">
        <v>233</v>
      </c>
      <c r="D370" s="173">
        <v>15787.92</v>
      </c>
      <c r="E370" s="171">
        <f t="shared" si="76"/>
        <v>15787.92</v>
      </c>
      <c r="F370" s="171">
        <f t="shared" si="77"/>
        <v>15787.92</v>
      </c>
      <c r="G370" s="171">
        <f t="shared" si="78"/>
        <v>15787.92</v>
      </c>
    </row>
    <row r="371" spans="2:7" hidden="1" outlineLevel="1" x14ac:dyDescent="0.3">
      <c r="B371" s="175"/>
      <c r="C371" s="168" t="s">
        <v>234</v>
      </c>
      <c r="D371" s="173">
        <v>14210</v>
      </c>
      <c r="E371" s="174">
        <v>15120</v>
      </c>
      <c r="F371" s="174">
        <v>15120</v>
      </c>
      <c r="G371" s="174">
        <v>15120</v>
      </c>
    </row>
    <row r="372" spans="2:7" hidden="1" outlineLevel="1" x14ac:dyDescent="0.3">
      <c r="B372" s="175"/>
      <c r="C372" s="168" t="s">
        <v>235</v>
      </c>
      <c r="D372" s="173">
        <v>14210</v>
      </c>
      <c r="E372" s="174">
        <v>15120</v>
      </c>
      <c r="F372" s="174">
        <v>15120</v>
      </c>
      <c r="G372" s="174">
        <v>15120</v>
      </c>
    </row>
    <row r="373" spans="2:7" hidden="1" outlineLevel="1" x14ac:dyDescent="0.3">
      <c r="B373" s="175"/>
      <c r="C373" s="168" t="s">
        <v>236</v>
      </c>
      <c r="D373" s="173">
        <v>14210</v>
      </c>
      <c r="E373" s="174">
        <v>15120</v>
      </c>
      <c r="F373" s="174">
        <v>15120</v>
      </c>
      <c r="G373" s="174">
        <v>15120</v>
      </c>
    </row>
    <row r="374" spans="2:7" hidden="1" outlineLevel="1" x14ac:dyDescent="0.3">
      <c r="B374" s="175"/>
      <c r="C374" s="168" t="s">
        <v>237</v>
      </c>
      <c r="D374" s="173">
        <v>14210</v>
      </c>
      <c r="E374" s="174">
        <v>15120</v>
      </c>
      <c r="F374" s="174">
        <v>15120</v>
      </c>
      <c r="G374" s="174">
        <v>15120</v>
      </c>
    </row>
    <row r="375" spans="2:7" hidden="1" outlineLevel="1" x14ac:dyDescent="0.3"/>
    <row r="376" spans="2:7" hidden="1" outlineLevel="1" x14ac:dyDescent="0.3"/>
    <row r="377" spans="2:7" hidden="1" outlineLevel="1" x14ac:dyDescent="0.3">
      <c r="C377" s="1" t="s">
        <v>238</v>
      </c>
      <c r="D377" s="66">
        <v>0.75</v>
      </c>
    </row>
    <row r="378" spans="2:7" hidden="1" outlineLevel="1" x14ac:dyDescent="0.3">
      <c r="C378" s="121" t="s">
        <v>239</v>
      </c>
      <c r="D378" s="66"/>
    </row>
    <row r="379" spans="2:7" hidden="1" outlineLevel="1" x14ac:dyDescent="0.3">
      <c r="C379" s="1" t="s">
        <v>240</v>
      </c>
    </row>
    <row r="380" spans="2:7" hidden="1" outlineLevel="1" x14ac:dyDescent="0.3">
      <c r="C380" s="1" t="s">
        <v>241</v>
      </c>
    </row>
    <row r="381" spans="2:7" hidden="1" outlineLevel="1" x14ac:dyDescent="0.3">
      <c r="C381" s="67" t="s">
        <v>242</v>
      </c>
      <c r="D381" s="66">
        <v>0.6</v>
      </c>
    </row>
    <row r="382" spans="2:7" hidden="1" outlineLevel="1" x14ac:dyDescent="0.3">
      <c r="C382" s="121" t="s">
        <v>243</v>
      </c>
    </row>
    <row r="383" spans="2:7" hidden="1" outlineLevel="1" x14ac:dyDescent="0.3">
      <c r="C383" s="1" t="s">
        <v>244</v>
      </c>
      <c r="D383" s="66">
        <v>0.15</v>
      </c>
    </row>
    <row r="384" spans="2:7" hidden="1" outlineLevel="1" x14ac:dyDescent="0.3">
      <c r="C384" s="121" t="s">
        <v>245</v>
      </c>
    </row>
    <row r="385" spans="2:28" hidden="1" outlineLevel="1" x14ac:dyDescent="0.3">
      <c r="C385" s="1" t="s">
        <v>246</v>
      </c>
    </row>
    <row r="386" spans="2:28" hidden="1" outlineLevel="1" x14ac:dyDescent="0.3">
      <c r="C386" s="121" t="s">
        <v>247</v>
      </c>
    </row>
    <row r="387" spans="2:28" hidden="1" outlineLevel="1" x14ac:dyDescent="0.3">
      <c r="C387" s="1" t="s">
        <v>248</v>
      </c>
    </row>
    <row r="388" spans="2:28" collapsed="1" x14ac:dyDescent="0.3"/>
    <row r="389" spans="2:28" ht="20.100000000000001" customHeight="1" x14ac:dyDescent="0.3">
      <c r="B389" s="176" t="s">
        <v>249</v>
      </c>
      <c r="C389" s="177"/>
      <c r="D389" s="178"/>
      <c r="E389" s="178"/>
      <c r="F389" s="178"/>
      <c r="G389" s="177"/>
      <c r="H389" s="177"/>
      <c r="I389" s="177"/>
      <c r="J389" s="177"/>
      <c r="K389" s="177"/>
      <c r="L389" s="177"/>
    </row>
    <row r="390" spans="2:28" ht="15" hidden="1" customHeight="1" outlineLevel="1" x14ac:dyDescent="0.3">
      <c r="B390" s="1" t="s">
        <v>250</v>
      </c>
    </row>
    <row r="391" spans="2:28" ht="15" hidden="1" customHeight="1" outlineLevel="1" x14ac:dyDescent="0.3">
      <c r="B391" s="1" t="s">
        <v>251</v>
      </c>
    </row>
    <row r="392" spans="2:28" ht="37.5" hidden="1" customHeight="1" outlineLevel="1" x14ac:dyDescent="0.3">
      <c r="B392" s="179" t="s">
        <v>252</v>
      </c>
      <c r="C392" s="179"/>
      <c r="D392" s="179"/>
      <c r="E392" s="179"/>
      <c r="F392" s="179"/>
      <c r="G392" s="179"/>
      <c r="H392" s="179"/>
      <c r="I392" s="179"/>
      <c r="J392" s="179"/>
      <c r="K392" s="179"/>
      <c r="L392" s="179"/>
    </row>
    <row r="393" spans="2:28" hidden="1" outlineLevel="1" x14ac:dyDescent="0.3">
      <c r="B393" s="121" t="s">
        <v>253</v>
      </c>
      <c r="T393" s="2">
        <v>1752</v>
      </c>
      <c r="W393" s="66">
        <v>0.5</v>
      </c>
      <c r="X393" s="66">
        <v>0.75</v>
      </c>
      <c r="Y393" s="66">
        <v>0.15</v>
      </c>
    </row>
    <row r="394" spans="2:28" hidden="1" outlineLevel="1" x14ac:dyDescent="0.3">
      <c r="C394" s="71" t="s">
        <v>73</v>
      </c>
      <c r="D394" s="2">
        <v>1752</v>
      </c>
      <c r="E394" s="10">
        <v>2.1999999999999999E-2</v>
      </c>
      <c r="F394" s="10">
        <v>1.2999999999999999E-2</v>
      </c>
      <c r="G394" s="2" t="s">
        <v>254</v>
      </c>
      <c r="I394" s="66">
        <v>0.5</v>
      </c>
      <c r="J394" s="66">
        <v>0.75</v>
      </c>
      <c r="K394" s="2"/>
      <c r="L394" s="66">
        <v>0.15</v>
      </c>
      <c r="M394" s="66">
        <v>0.15</v>
      </c>
      <c r="O394" s="1" t="s">
        <v>255</v>
      </c>
      <c r="S394" s="1" t="s">
        <v>256</v>
      </c>
      <c r="Z394" s="1">
        <v>2023</v>
      </c>
      <c r="AA394" s="1">
        <v>2024</v>
      </c>
      <c r="AB394" s="1">
        <v>2025</v>
      </c>
    </row>
    <row r="395" spans="2:28" ht="28.8" hidden="1" outlineLevel="1" x14ac:dyDescent="0.3">
      <c r="B395" s="12" t="s">
        <v>8</v>
      </c>
      <c r="C395" s="12" t="s">
        <v>9</v>
      </c>
      <c r="D395" s="180">
        <v>2018</v>
      </c>
      <c r="E395" s="180">
        <v>2019</v>
      </c>
      <c r="F395" s="180">
        <v>2020</v>
      </c>
      <c r="G395" s="180">
        <v>2021</v>
      </c>
      <c r="H395" s="180" t="s">
        <v>105</v>
      </c>
      <c r="I395" s="180" t="s">
        <v>257</v>
      </c>
      <c r="J395" s="180" t="s">
        <v>258</v>
      </c>
      <c r="K395" s="180" t="s">
        <v>259</v>
      </c>
      <c r="L395" s="180" t="s">
        <v>260</v>
      </c>
      <c r="M395" s="181" t="s">
        <v>261</v>
      </c>
      <c r="N395" s="182">
        <v>2022</v>
      </c>
      <c r="O395" s="183">
        <v>2023</v>
      </c>
      <c r="P395" s="184" t="s">
        <v>105</v>
      </c>
      <c r="Q395" s="185" t="s">
        <v>262</v>
      </c>
      <c r="S395" s="186">
        <v>2023</v>
      </c>
      <c r="T395" s="186" t="s">
        <v>105</v>
      </c>
      <c r="U395" s="186">
        <v>2024</v>
      </c>
      <c r="V395" s="186">
        <v>2025</v>
      </c>
      <c r="W395" s="180" t="s">
        <v>257</v>
      </c>
      <c r="X395" s="180" t="s">
        <v>258</v>
      </c>
      <c r="Y395" s="187" t="s">
        <v>263</v>
      </c>
      <c r="Z395" s="188" t="s">
        <v>264</v>
      </c>
      <c r="AA395" s="188" t="s">
        <v>264</v>
      </c>
      <c r="AB395" s="188" t="s">
        <v>264</v>
      </c>
    </row>
    <row r="396" spans="2:28" ht="28.8" hidden="1" outlineLevel="1" x14ac:dyDescent="0.3">
      <c r="B396" s="21" t="s">
        <v>154</v>
      </c>
      <c r="C396" s="21" t="s">
        <v>265</v>
      </c>
      <c r="D396" s="95">
        <v>15835.51</v>
      </c>
      <c r="E396" s="95">
        <f>+D396+D396*$E$394</f>
        <v>16183.89122</v>
      </c>
      <c r="F396" s="95">
        <f>+E396+E396*$F$394</f>
        <v>16394.281805859999</v>
      </c>
      <c r="G396" s="95"/>
      <c r="H396" s="95">
        <f t="shared" ref="H396:H403" si="79">+F396/$D$394</f>
        <v>9.3574667841666663</v>
      </c>
      <c r="I396" s="95">
        <f t="shared" ref="I396:I403" si="80">H396+H396*$I$394</f>
        <v>14.036200176249999</v>
      </c>
      <c r="J396" s="95">
        <f t="shared" ref="J396:J403" si="81">H396+H396*$J$394</f>
        <v>16.375566872291664</v>
      </c>
      <c r="K396" s="95">
        <v>2.63</v>
      </c>
      <c r="L396" s="95">
        <f t="shared" ref="L396:L403" si="82">H396*$L$394</f>
        <v>1.403620017625</v>
      </c>
      <c r="M396" s="95">
        <f t="shared" ref="M396:M403" si="83">$M$394*F396/14</f>
        <v>175.65301934849998</v>
      </c>
      <c r="N396" s="96">
        <f>+E396</f>
        <v>16183.89122</v>
      </c>
      <c r="O396" s="96">
        <f>+E396</f>
        <v>16183.89122</v>
      </c>
      <c r="P396" s="142">
        <f t="shared" ref="P396:P403" si="84">+O396/$D$394</f>
        <v>9.2373808333333329</v>
      </c>
      <c r="Q396" s="142">
        <v>2.63</v>
      </c>
      <c r="S396" s="24">
        <v>19051.2</v>
      </c>
      <c r="T396" s="24">
        <f>+S396/$T$393</f>
        <v>10.873972602739727</v>
      </c>
      <c r="U396" s="24">
        <v>19336.97</v>
      </c>
      <c r="V396" s="24">
        <v>19917.080000000002</v>
      </c>
      <c r="Z396" s="24">
        <v>2.8</v>
      </c>
      <c r="AA396" s="24">
        <v>2.9</v>
      </c>
      <c r="AB396" s="24">
        <v>3</v>
      </c>
    </row>
    <row r="397" spans="2:28" ht="43.2" hidden="1" outlineLevel="1" x14ac:dyDescent="0.3">
      <c r="B397" s="31" t="s">
        <v>23</v>
      </c>
      <c r="C397" s="21" t="s">
        <v>266</v>
      </c>
      <c r="D397" s="95">
        <v>14515.9</v>
      </c>
      <c r="E397" s="95">
        <f>+D397+D397*$E$394</f>
        <v>14835.2498</v>
      </c>
      <c r="F397" s="95">
        <f>+E397+E397*$F$394</f>
        <v>15028.108047399999</v>
      </c>
      <c r="G397" s="95"/>
      <c r="H397" s="95">
        <f t="shared" si="79"/>
        <v>8.5776872416666663</v>
      </c>
      <c r="I397" s="95">
        <f t="shared" si="80"/>
        <v>12.866530862499999</v>
      </c>
      <c r="J397" s="95">
        <f t="shared" si="81"/>
        <v>15.010952672916666</v>
      </c>
      <c r="K397" s="95">
        <v>2.63</v>
      </c>
      <c r="L397" s="95">
        <f t="shared" si="82"/>
        <v>1.2866530862499999</v>
      </c>
      <c r="M397" s="95">
        <f t="shared" si="83"/>
        <v>161.01544336499998</v>
      </c>
      <c r="N397" s="96">
        <f>+E397</f>
        <v>14835.2498</v>
      </c>
      <c r="O397" s="96">
        <f>1080*14</f>
        <v>15120</v>
      </c>
      <c r="P397" s="142">
        <f t="shared" si="84"/>
        <v>8.6301369863013697</v>
      </c>
      <c r="Q397" s="142">
        <v>2.63</v>
      </c>
      <c r="S397" s="24">
        <v>17463.599999999999</v>
      </c>
      <c r="T397" s="24">
        <f t="shared" ref="T397:T403" si="85">+S397/$T$393</f>
        <v>9.9678082191780817</v>
      </c>
      <c r="U397" s="24">
        <v>17725.55</v>
      </c>
      <c r="V397" s="24">
        <v>18257.32</v>
      </c>
      <c r="Z397" s="24">
        <v>2.8</v>
      </c>
      <c r="AA397" s="24">
        <v>2.9</v>
      </c>
      <c r="AB397" s="24">
        <v>3</v>
      </c>
    </row>
    <row r="398" spans="2:28" ht="28.8" hidden="1" outlineLevel="1" x14ac:dyDescent="0.3">
      <c r="B398" s="33"/>
      <c r="C398" s="21" t="s">
        <v>267</v>
      </c>
      <c r="D398" s="95">
        <v>14075.92</v>
      </c>
      <c r="E398" s="95">
        <f>+D398+D398*$E$394</f>
        <v>14385.59024</v>
      </c>
      <c r="F398" s="95">
        <f>+E398+E398*$F$394</f>
        <v>14572.602913119999</v>
      </c>
      <c r="G398" s="95"/>
      <c r="H398" s="95">
        <f t="shared" si="79"/>
        <v>8.3176957266666669</v>
      </c>
      <c r="I398" s="95">
        <f t="shared" si="80"/>
        <v>12.47654359</v>
      </c>
      <c r="J398" s="95">
        <f t="shared" si="81"/>
        <v>14.555967521666666</v>
      </c>
      <c r="K398" s="95">
        <v>2.63</v>
      </c>
      <c r="L398" s="95">
        <f t="shared" si="82"/>
        <v>1.247654359</v>
      </c>
      <c r="M398" s="95">
        <f t="shared" si="83"/>
        <v>156.135031212</v>
      </c>
      <c r="N398" s="96">
        <f>+E398</f>
        <v>14385.59024</v>
      </c>
      <c r="O398" s="96">
        <f t="shared" ref="O398:O403" si="86">1080*14</f>
        <v>15120</v>
      </c>
      <c r="P398" s="142">
        <f t="shared" si="84"/>
        <v>8.6301369863013697</v>
      </c>
      <c r="Q398" s="142">
        <v>2.63</v>
      </c>
      <c r="S398" s="24">
        <v>16919.28</v>
      </c>
      <c r="T398" s="24">
        <f t="shared" si="85"/>
        <v>9.657123287671233</v>
      </c>
      <c r="U398" s="24">
        <v>17173.07</v>
      </c>
      <c r="V398" s="24">
        <v>17688.259999999998</v>
      </c>
      <c r="Z398" s="24">
        <v>2.8</v>
      </c>
      <c r="AA398" s="24">
        <v>2.9</v>
      </c>
      <c r="AB398" s="24">
        <v>3</v>
      </c>
    </row>
    <row r="399" spans="2:28" ht="57.6" hidden="1" outlineLevel="1" x14ac:dyDescent="0.3">
      <c r="B399" s="31" t="s">
        <v>29</v>
      </c>
      <c r="C399" s="21" t="s">
        <v>268</v>
      </c>
      <c r="D399" s="95">
        <v>12756.31</v>
      </c>
      <c r="E399" s="95">
        <f>+D399+D399*$E$394</f>
        <v>13036.94882</v>
      </c>
      <c r="F399" s="95">
        <f>950*14</f>
        <v>13300</v>
      </c>
      <c r="G399" s="95"/>
      <c r="H399" s="95">
        <f t="shared" si="79"/>
        <v>7.5913242009132418</v>
      </c>
      <c r="I399" s="95">
        <f t="shared" si="80"/>
        <v>11.386986301369863</v>
      </c>
      <c r="J399" s="95">
        <f t="shared" si="81"/>
        <v>13.284817351598173</v>
      </c>
      <c r="K399" s="95">
        <v>2.63</v>
      </c>
      <c r="L399" s="95">
        <f t="shared" si="82"/>
        <v>1.1386986301369861</v>
      </c>
      <c r="M399" s="95">
        <f t="shared" si="83"/>
        <v>142.5</v>
      </c>
      <c r="N399" s="96">
        <v>14000</v>
      </c>
      <c r="O399" s="96">
        <f t="shared" si="86"/>
        <v>15120</v>
      </c>
      <c r="P399" s="142">
        <f t="shared" si="84"/>
        <v>8.6301369863013697</v>
      </c>
      <c r="Q399" s="142">
        <v>2.63</v>
      </c>
      <c r="S399" s="24">
        <v>16102.8</v>
      </c>
      <c r="T399" s="24">
        <f t="shared" si="85"/>
        <v>9.1910958904109581</v>
      </c>
      <c r="U399" s="24">
        <v>16424.86</v>
      </c>
      <c r="V399" s="24">
        <v>17081.849999999999</v>
      </c>
      <c r="Z399" s="24">
        <v>2.8</v>
      </c>
      <c r="AA399" s="24">
        <v>2.9</v>
      </c>
      <c r="AB399" s="24">
        <v>3</v>
      </c>
    </row>
    <row r="400" spans="2:28" ht="57.6" hidden="1" outlineLevel="1" x14ac:dyDescent="0.3">
      <c r="B400" s="33"/>
      <c r="C400" s="21" t="s">
        <v>269</v>
      </c>
      <c r="D400" s="95">
        <v>11964.68</v>
      </c>
      <c r="E400" s="95">
        <v>12600</v>
      </c>
      <c r="F400" s="95">
        <f>950*14</f>
        <v>13300</v>
      </c>
      <c r="G400" s="95"/>
      <c r="H400" s="95">
        <f t="shared" si="79"/>
        <v>7.5913242009132418</v>
      </c>
      <c r="I400" s="95">
        <f t="shared" si="80"/>
        <v>11.386986301369863</v>
      </c>
      <c r="J400" s="95">
        <f t="shared" si="81"/>
        <v>13.284817351598173</v>
      </c>
      <c r="K400" s="95">
        <v>2.63</v>
      </c>
      <c r="L400" s="95">
        <f t="shared" si="82"/>
        <v>1.1386986301369861</v>
      </c>
      <c r="M400" s="95">
        <f t="shared" si="83"/>
        <v>142.5</v>
      </c>
      <c r="N400" s="96">
        <v>14000</v>
      </c>
      <c r="O400" s="96">
        <f t="shared" si="86"/>
        <v>15120</v>
      </c>
      <c r="P400" s="142">
        <f t="shared" si="84"/>
        <v>8.6301369863013697</v>
      </c>
      <c r="Q400" s="142">
        <v>2.63</v>
      </c>
      <c r="S400" s="24">
        <v>15724.8</v>
      </c>
      <c r="T400" s="24">
        <f t="shared" si="85"/>
        <v>8.9753424657534246</v>
      </c>
      <c r="U400" s="24">
        <v>16039.3</v>
      </c>
      <c r="V400" s="189">
        <v>16680.87</v>
      </c>
      <c r="Z400" s="24">
        <v>2.8</v>
      </c>
      <c r="AA400" s="24">
        <v>2.9</v>
      </c>
      <c r="AB400" s="24">
        <v>3</v>
      </c>
    </row>
    <row r="401" spans="1:28" ht="57.6" hidden="1" outlineLevel="1" x14ac:dyDescent="0.3">
      <c r="B401" s="31" t="s">
        <v>39</v>
      </c>
      <c r="C401" s="21" t="s">
        <v>270</v>
      </c>
      <c r="D401" s="95">
        <v>11453.88</v>
      </c>
      <c r="E401" s="95">
        <v>12600</v>
      </c>
      <c r="F401" s="95">
        <f t="shared" ref="F401:F403" si="87">950*14</f>
        <v>13300</v>
      </c>
      <c r="G401" s="95"/>
      <c r="H401" s="95">
        <f t="shared" si="79"/>
        <v>7.5913242009132418</v>
      </c>
      <c r="I401" s="95">
        <f t="shared" si="80"/>
        <v>11.386986301369863</v>
      </c>
      <c r="J401" s="95">
        <f t="shared" si="81"/>
        <v>13.284817351598173</v>
      </c>
      <c r="K401" s="95">
        <v>2.63</v>
      </c>
      <c r="L401" s="95">
        <f t="shared" si="82"/>
        <v>1.1386986301369861</v>
      </c>
      <c r="M401" s="95">
        <f t="shared" si="83"/>
        <v>142.5</v>
      </c>
      <c r="N401" s="96">
        <v>14000</v>
      </c>
      <c r="O401" s="96">
        <f t="shared" si="86"/>
        <v>15120</v>
      </c>
      <c r="P401" s="142">
        <f t="shared" si="84"/>
        <v>8.6301369863013697</v>
      </c>
      <c r="Q401" s="142">
        <v>2.63</v>
      </c>
      <c r="S401" s="24">
        <v>15346.8</v>
      </c>
      <c r="T401" s="24">
        <f t="shared" si="85"/>
        <v>8.7595890410958894</v>
      </c>
      <c r="U401" s="24">
        <v>15653.74</v>
      </c>
      <c r="V401" s="189">
        <v>16279.89</v>
      </c>
      <c r="Z401" s="24">
        <v>2.8</v>
      </c>
      <c r="AA401" s="24">
        <v>2.9</v>
      </c>
      <c r="AB401" s="24">
        <v>3</v>
      </c>
    </row>
    <row r="402" spans="1:28" ht="28.8" hidden="1" outlineLevel="1" x14ac:dyDescent="0.3">
      <c r="B402" s="33"/>
      <c r="C402" s="21" t="s">
        <v>271</v>
      </c>
      <c r="D402" s="95">
        <v>11453.88</v>
      </c>
      <c r="E402" s="95">
        <v>12600</v>
      </c>
      <c r="F402" s="95">
        <f t="shared" si="87"/>
        <v>13300</v>
      </c>
      <c r="G402" s="95"/>
      <c r="H402" s="95">
        <f t="shared" si="79"/>
        <v>7.5913242009132418</v>
      </c>
      <c r="I402" s="95">
        <f t="shared" si="80"/>
        <v>11.386986301369863</v>
      </c>
      <c r="J402" s="95">
        <f t="shared" si="81"/>
        <v>13.284817351598173</v>
      </c>
      <c r="K402" s="95">
        <v>2.63</v>
      </c>
      <c r="L402" s="95">
        <f t="shared" si="82"/>
        <v>1.1386986301369861</v>
      </c>
      <c r="M402" s="95">
        <f t="shared" si="83"/>
        <v>142.5</v>
      </c>
      <c r="N402" s="96">
        <v>14000</v>
      </c>
      <c r="O402" s="96">
        <f t="shared" si="86"/>
        <v>15120</v>
      </c>
      <c r="P402" s="142">
        <f t="shared" si="84"/>
        <v>8.6301369863013697</v>
      </c>
      <c r="Q402" s="142">
        <v>2.63</v>
      </c>
      <c r="S402" s="24">
        <v>15195.6</v>
      </c>
      <c r="T402" s="24">
        <f t="shared" si="85"/>
        <v>8.6732876712328775</v>
      </c>
      <c r="U402" s="24">
        <v>15499.51</v>
      </c>
      <c r="V402" s="189">
        <v>16119.49</v>
      </c>
      <c r="Z402" s="24">
        <v>2.8</v>
      </c>
      <c r="AA402" s="24">
        <v>2.9</v>
      </c>
      <c r="AB402" s="24">
        <v>3</v>
      </c>
    </row>
    <row r="403" spans="1:28" ht="28.8" hidden="1" outlineLevel="1" x14ac:dyDescent="0.3">
      <c r="B403" s="190" t="s">
        <v>42</v>
      </c>
      <c r="C403" s="21" t="s">
        <v>272</v>
      </c>
      <c r="D403" s="95">
        <v>11453.88</v>
      </c>
      <c r="E403" s="95">
        <v>12600</v>
      </c>
      <c r="F403" s="95">
        <f t="shared" si="87"/>
        <v>13300</v>
      </c>
      <c r="G403" s="95"/>
      <c r="H403" s="95">
        <f t="shared" si="79"/>
        <v>7.5913242009132418</v>
      </c>
      <c r="I403" s="95">
        <f t="shared" si="80"/>
        <v>11.386986301369863</v>
      </c>
      <c r="J403" s="95">
        <f t="shared" si="81"/>
        <v>13.284817351598173</v>
      </c>
      <c r="K403" s="95">
        <v>2.63</v>
      </c>
      <c r="L403" s="95">
        <f t="shared" si="82"/>
        <v>1.1386986301369861</v>
      </c>
      <c r="M403" s="95">
        <f t="shared" si="83"/>
        <v>142.5</v>
      </c>
      <c r="N403" s="96">
        <v>14000</v>
      </c>
      <c r="O403" s="96">
        <f t="shared" si="86"/>
        <v>15120</v>
      </c>
      <c r="P403" s="142">
        <f t="shared" si="84"/>
        <v>8.6301369863013697</v>
      </c>
      <c r="Q403" s="142">
        <v>2.63</v>
      </c>
      <c r="S403" s="24">
        <v>15150</v>
      </c>
      <c r="T403" s="24">
        <f t="shared" si="85"/>
        <v>8.6472602739726021</v>
      </c>
      <c r="U403" s="24">
        <v>15453</v>
      </c>
      <c r="V403" s="189">
        <v>16071.12</v>
      </c>
      <c r="Z403" s="24">
        <v>2.8</v>
      </c>
      <c r="AA403" s="24">
        <v>2.9</v>
      </c>
      <c r="AB403" s="24">
        <v>3</v>
      </c>
    </row>
    <row r="404" spans="1:28" hidden="1" outlineLevel="1" x14ac:dyDescent="0.3">
      <c r="V404" s="88" t="s">
        <v>273</v>
      </c>
    </row>
    <row r="405" spans="1:28" hidden="1" outlineLevel="1" x14ac:dyDescent="0.3"/>
    <row r="406" spans="1:28" hidden="1" outlineLevel="1" x14ac:dyDescent="0.3"/>
    <row r="407" spans="1:28" hidden="1" outlineLevel="1" x14ac:dyDescent="0.3"/>
    <row r="408" spans="1:28" hidden="1" outlineLevel="1" x14ac:dyDescent="0.3"/>
    <row r="409" spans="1:28" hidden="1" outlineLevel="1" x14ac:dyDescent="0.3"/>
    <row r="410" spans="1:28" hidden="1" outlineLevel="1" x14ac:dyDescent="0.3"/>
    <row r="411" spans="1:28" collapsed="1" x14ac:dyDescent="0.3">
      <c r="A411"/>
      <c r="B411"/>
      <c r="C411"/>
      <c r="D411"/>
      <c r="E411"/>
      <c r="F411"/>
      <c r="G411"/>
      <c r="H411"/>
      <c r="I411"/>
      <c r="J411"/>
      <c r="K411"/>
      <c r="L411"/>
      <c r="M411"/>
      <c r="N411"/>
      <c r="O411"/>
      <c r="P411"/>
      <c r="Q411"/>
    </row>
    <row r="412" spans="1:28" ht="20.100000000000001" customHeight="1" x14ac:dyDescent="0.3">
      <c r="B412" s="176" t="s">
        <v>274</v>
      </c>
      <c r="C412" s="177"/>
      <c r="D412" s="178"/>
      <c r="E412" s="178"/>
      <c r="F412" s="178"/>
      <c r="G412" s="177"/>
      <c r="H412" s="177"/>
      <c r="I412" s="177"/>
      <c r="J412" s="177"/>
      <c r="K412" s="177"/>
      <c r="L412" s="177"/>
    </row>
    <row r="413" spans="1:28" hidden="1" outlineLevel="1" x14ac:dyDescent="0.3">
      <c r="B413" s="121" t="s">
        <v>275</v>
      </c>
      <c r="D413"/>
      <c r="E413"/>
      <c r="F413"/>
      <c r="G413"/>
      <c r="H413"/>
      <c r="I413"/>
      <c r="J413"/>
      <c r="K413"/>
      <c r="L413"/>
      <c r="M413"/>
      <c r="N413"/>
      <c r="O413"/>
      <c r="P413"/>
      <c r="Q413"/>
    </row>
    <row r="414" spans="1:28" hidden="1" outlineLevel="1" x14ac:dyDescent="0.3">
      <c r="B414" t="s">
        <v>276</v>
      </c>
      <c r="C414" s="191"/>
      <c r="D414"/>
      <c r="E414"/>
      <c r="F414"/>
      <c r="G414"/>
      <c r="H414" s="191" t="s">
        <v>277</v>
      </c>
      <c r="I414"/>
      <c r="J414"/>
      <c r="K414"/>
      <c r="L414"/>
      <c r="M414"/>
      <c r="N414"/>
      <c r="O414"/>
      <c r="P414"/>
      <c r="Q414"/>
      <c r="R414" s="65">
        <f>1-R415/F416</f>
        <v>4.3969849246231485E-3</v>
      </c>
      <c r="S414" s="65">
        <f>1-S415/R415</f>
        <v>4.4164037854889093E-3</v>
      </c>
      <c r="T414" s="65">
        <f>1-T415/S415</f>
        <v>6.3371356147021718E-3</v>
      </c>
    </row>
    <row r="415" spans="1:28" hidden="1" outlineLevel="1" x14ac:dyDescent="0.3">
      <c r="C415"/>
      <c r="D415" t="s">
        <v>117</v>
      </c>
      <c r="E415" s="2" t="s">
        <v>278</v>
      </c>
      <c r="F415" t="s">
        <v>279</v>
      </c>
      <c r="H415" s="192">
        <v>2024</v>
      </c>
      <c r="I415" s="192">
        <v>2025</v>
      </c>
      <c r="J415" s="192">
        <v>2026</v>
      </c>
      <c r="K415"/>
      <c r="L415"/>
      <c r="M415"/>
      <c r="N415"/>
      <c r="O415"/>
      <c r="P415"/>
      <c r="Q415" t="s">
        <v>280</v>
      </c>
      <c r="R415" s="2">
        <v>1585</v>
      </c>
      <c r="S415" s="2">
        <v>1578</v>
      </c>
      <c r="T415" s="2">
        <v>1568</v>
      </c>
    </row>
    <row r="416" spans="1:28" hidden="1" outlineLevel="1" x14ac:dyDescent="0.3">
      <c r="C416" s="193" t="s">
        <v>281</v>
      </c>
      <c r="D416" s="194">
        <v>1596</v>
      </c>
      <c r="E416" s="2">
        <v>145</v>
      </c>
      <c r="F416" s="194">
        <v>1592</v>
      </c>
      <c r="H416" s="194">
        <v>1592</v>
      </c>
      <c r="I416" s="194">
        <v>1585</v>
      </c>
      <c r="J416" s="194">
        <v>1578</v>
      </c>
      <c r="K416"/>
      <c r="L416"/>
      <c r="M416"/>
      <c r="N416"/>
      <c r="O416"/>
      <c r="P416"/>
      <c r="Q416" t="s">
        <v>282</v>
      </c>
      <c r="R416" s="2">
        <v>1670</v>
      </c>
      <c r="S416" s="2">
        <v>1650</v>
      </c>
      <c r="T416" s="2">
        <v>1605</v>
      </c>
    </row>
    <row r="417" spans="2:20" hidden="1" outlineLevel="1" x14ac:dyDescent="0.3">
      <c r="C417" s="193" t="s">
        <v>283</v>
      </c>
      <c r="D417" s="194">
        <v>1760</v>
      </c>
      <c r="E417" s="2">
        <v>160</v>
      </c>
      <c r="F417" s="194">
        <v>1705</v>
      </c>
      <c r="H417" s="194">
        <v>1705</v>
      </c>
      <c r="I417" s="194">
        <v>1670</v>
      </c>
      <c r="J417" s="194">
        <v>1650</v>
      </c>
      <c r="K417"/>
      <c r="L417"/>
      <c r="M417"/>
      <c r="N417"/>
      <c r="O417"/>
      <c r="P417"/>
      <c r="Q417"/>
      <c r="R417" s="2" t="s">
        <v>284</v>
      </c>
      <c r="S417" s="2" t="s">
        <v>285</v>
      </c>
      <c r="T417" s="2" t="s">
        <v>286</v>
      </c>
    </row>
    <row r="418" spans="2:20" hidden="1" outlineLevel="1" x14ac:dyDescent="0.3">
      <c r="B418"/>
      <c r="C418"/>
      <c r="D418"/>
      <c r="E418"/>
      <c r="F418"/>
      <c r="G418"/>
      <c r="H418"/>
      <c r="I418" s="193"/>
      <c r="K418"/>
      <c r="L418"/>
      <c r="M418"/>
      <c r="N418"/>
      <c r="O418"/>
      <c r="P418"/>
      <c r="Q418" s="195"/>
      <c r="R418" s="196">
        <v>2025</v>
      </c>
      <c r="S418" s="196">
        <v>2026</v>
      </c>
      <c r="T418" s="196">
        <v>2027</v>
      </c>
    </row>
    <row r="419" spans="2:20" hidden="1" outlineLevel="1" x14ac:dyDescent="0.3">
      <c r="B419"/>
      <c r="C419"/>
      <c r="D419"/>
      <c r="E419"/>
      <c r="F419"/>
      <c r="G419"/>
      <c r="H419"/>
      <c r="I419" s="193"/>
      <c r="J419"/>
      <c r="K419"/>
      <c r="L419"/>
      <c r="M419"/>
      <c r="N419"/>
      <c r="O419"/>
      <c r="P419"/>
    </row>
    <row r="420" spans="2:20" hidden="1" outlineLevel="1" x14ac:dyDescent="0.3">
      <c r="B420"/>
      <c r="C420"/>
      <c r="D420"/>
      <c r="E420" t="s">
        <v>287</v>
      </c>
      <c r="F420"/>
      <c r="G420"/>
      <c r="H420"/>
      <c r="I420"/>
      <c r="J420" s="88" t="s">
        <v>288</v>
      </c>
      <c r="L420" s="197"/>
      <c r="M420" s="117">
        <v>3.5999999999999997E-2</v>
      </c>
      <c r="N420" s="197"/>
      <c r="O420"/>
      <c r="P420" s="2" t="s">
        <v>285</v>
      </c>
    </row>
    <row r="421" spans="2:20" hidden="1" outlineLevel="1" x14ac:dyDescent="0.3">
      <c r="B421" t="s">
        <v>289</v>
      </c>
      <c r="C421" t="s">
        <v>290</v>
      </c>
      <c r="D421" t="s">
        <v>291</v>
      </c>
      <c r="E421" s="196">
        <v>2022</v>
      </c>
      <c r="F421" s="192" t="s">
        <v>105</v>
      </c>
      <c r="G421" s="198" t="s">
        <v>292</v>
      </c>
      <c r="J421" s="199" t="s">
        <v>293</v>
      </c>
      <c r="L421"/>
      <c r="M421" s="198">
        <v>2025</v>
      </c>
      <c r="P421" s="121">
        <v>2026</v>
      </c>
      <c r="Q421" s="195"/>
    </row>
    <row r="422" spans="2:20" ht="15" hidden="1" customHeight="1" outlineLevel="1" x14ac:dyDescent="0.3">
      <c r="B422" s="200" t="s">
        <v>294</v>
      </c>
      <c r="C422" s="201" t="s">
        <v>295</v>
      </c>
      <c r="D422" s="202">
        <v>1596</v>
      </c>
      <c r="E422" s="203">
        <f>+F422*D422</f>
        <v>26972.399999999998</v>
      </c>
      <c r="F422" s="204">
        <v>16.899999999999999</v>
      </c>
      <c r="G422" s="205">
        <f>+H422*D422</f>
        <v>27515.039999999997</v>
      </c>
      <c r="H422" s="206">
        <v>17.239999999999998</v>
      </c>
      <c r="I422" s="207">
        <f>+H422/F422-1</f>
        <v>2.0118343195266286E-2</v>
      </c>
      <c r="J422" s="208">
        <v>1592</v>
      </c>
      <c r="K422" s="203">
        <f>+G422*(1+$K$440)</f>
        <v>29853.818399999996</v>
      </c>
      <c r="L422" s="203">
        <f>+K422/J422</f>
        <v>18.752398492462309</v>
      </c>
      <c r="M422" s="208">
        <f>$I$416</f>
        <v>1585</v>
      </c>
      <c r="N422" s="203">
        <f>O422*M422</f>
        <v>30923.350000000002</v>
      </c>
      <c r="O422" s="203">
        <v>19.510000000000002</v>
      </c>
      <c r="P422" s="208">
        <f>$J$416</f>
        <v>1578</v>
      </c>
    </row>
    <row r="423" spans="2:20" hidden="1" outlineLevel="1" x14ac:dyDescent="0.3">
      <c r="B423" s="200"/>
      <c r="C423" s="201" t="s">
        <v>296</v>
      </c>
      <c r="D423" s="202">
        <v>1596</v>
      </c>
      <c r="E423" s="203">
        <v>25303.46</v>
      </c>
      <c r="F423" s="204">
        <f>+E423/D423</f>
        <v>15.854298245614034</v>
      </c>
      <c r="G423" s="205">
        <v>25809.53</v>
      </c>
      <c r="H423" s="206">
        <f>+G423/D423</f>
        <v>16.171384711779449</v>
      </c>
      <c r="I423" s="207">
        <f t="shared" ref="I423:I431" si="88">+H423/F423-1</f>
        <v>2.0000031616229652E-2</v>
      </c>
      <c r="J423" s="208">
        <v>1592</v>
      </c>
      <c r="K423" s="203">
        <f>+G423*(1+$K$440)</f>
        <v>28003.340049999999</v>
      </c>
      <c r="L423" s="203">
        <f t="shared" ref="L423:L431" si="89">+K423/J423</f>
        <v>17.590037719849246</v>
      </c>
      <c r="M423" s="208">
        <f t="shared" ref="M423:M424" si="90">$I$416</f>
        <v>1585</v>
      </c>
      <c r="N423" s="203">
        <v>29011.46</v>
      </c>
      <c r="O423" s="203">
        <f>N423/M423</f>
        <v>18.30376025236593</v>
      </c>
      <c r="P423" s="208">
        <f t="shared" ref="P423:P424" si="91">$J$416</f>
        <v>1578</v>
      </c>
    </row>
    <row r="424" spans="2:20" hidden="1" outlineLevel="1" x14ac:dyDescent="0.3">
      <c r="B424" s="201" t="s">
        <v>297</v>
      </c>
      <c r="C424" s="209" t="s">
        <v>298</v>
      </c>
      <c r="D424" s="202">
        <v>1596</v>
      </c>
      <c r="E424" s="203">
        <v>21087.95</v>
      </c>
      <c r="F424" s="204">
        <f>+E424/D424</f>
        <v>13.213001253132832</v>
      </c>
      <c r="G424" s="205">
        <v>21509.72</v>
      </c>
      <c r="H424" s="206">
        <f t="shared" ref="H424:H431" si="92">+G424/D424</f>
        <v>13.477268170426067</v>
      </c>
      <c r="I424" s="207">
        <f t="shared" si="88"/>
        <v>2.0000521624909062E-2</v>
      </c>
      <c r="J424" s="208">
        <v>1592</v>
      </c>
      <c r="K424" s="203">
        <f>+G424*(1+$K$440)</f>
        <v>23338.046200000001</v>
      </c>
      <c r="L424" s="203">
        <f t="shared" si="89"/>
        <v>14.659576758793971</v>
      </c>
      <c r="M424" s="208">
        <f t="shared" si="90"/>
        <v>1585</v>
      </c>
      <c r="N424" s="203">
        <v>24178.22</v>
      </c>
      <c r="O424" s="203">
        <f t="shared" ref="O424:O431" si="93">N424/M424</f>
        <v>15.254397476340694</v>
      </c>
      <c r="P424" s="208">
        <f t="shared" si="91"/>
        <v>1578</v>
      </c>
    </row>
    <row r="425" spans="2:20" hidden="1" outlineLevel="1" x14ac:dyDescent="0.3">
      <c r="B425" s="210" t="s">
        <v>299</v>
      </c>
      <c r="C425" s="210" t="s">
        <v>300</v>
      </c>
      <c r="D425" s="202">
        <v>1760</v>
      </c>
      <c r="E425" s="203">
        <v>24312.3</v>
      </c>
      <c r="F425" s="204">
        <f t="shared" ref="F425:F431" si="94">+E425/D425</f>
        <v>13.813806818181817</v>
      </c>
      <c r="G425" s="205">
        <v>24798.55</v>
      </c>
      <c r="H425" s="206">
        <f t="shared" si="92"/>
        <v>14.090085227272727</v>
      </c>
      <c r="I425" s="207">
        <f t="shared" si="88"/>
        <v>2.0000164525775022E-2</v>
      </c>
      <c r="J425" s="208">
        <v>1705</v>
      </c>
      <c r="K425" s="203">
        <f>+G425*(1+$K$440)</f>
        <v>26906.426749999999</v>
      </c>
      <c r="L425" s="203">
        <f t="shared" si="89"/>
        <v>15.780895454545453</v>
      </c>
      <c r="M425" s="208">
        <f>$I$417</f>
        <v>1670</v>
      </c>
      <c r="N425" s="203">
        <v>27875.06</v>
      </c>
      <c r="O425" s="203">
        <f t="shared" si="93"/>
        <v>16.691652694610781</v>
      </c>
      <c r="P425" s="208">
        <f>$J$417</f>
        <v>1650</v>
      </c>
    </row>
    <row r="426" spans="2:20" hidden="1" outlineLevel="1" x14ac:dyDescent="0.3">
      <c r="B426" s="200" t="s">
        <v>301</v>
      </c>
      <c r="C426" s="210" t="s">
        <v>302</v>
      </c>
      <c r="D426" s="118">
        <v>1760</v>
      </c>
      <c r="E426" s="211">
        <v>18638.400000000001</v>
      </c>
      <c r="F426" s="204">
        <f t="shared" si="94"/>
        <v>10.590000000000002</v>
      </c>
      <c r="G426" s="212">
        <v>19104.36</v>
      </c>
      <c r="H426" s="206">
        <f t="shared" si="92"/>
        <v>10.854750000000001</v>
      </c>
      <c r="I426" s="207">
        <f t="shared" si="88"/>
        <v>2.4999999999999911E-2</v>
      </c>
      <c r="J426" s="208">
        <v>1705</v>
      </c>
      <c r="K426" s="203">
        <f t="shared" ref="K426:K431" si="95">+G426*(1+$K$443)</f>
        <v>20537.186999999998</v>
      </c>
      <c r="L426" s="203">
        <f t="shared" si="89"/>
        <v>12.045270967741935</v>
      </c>
      <c r="M426" s="208">
        <f t="shared" ref="M426:M431" si="96">$I$417</f>
        <v>1670</v>
      </c>
      <c r="N426" s="203">
        <v>21276.53</v>
      </c>
      <c r="O426" s="203">
        <f t="shared" si="93"/>
        <v>12.740437125748503</v>
      </c>
      <c r="P426" s="208">
        <f t="shared" ref="P426:P431" si="97">$J$417</f>
        <v>1650</v>
      </c>
    </row>
    <row r="427" spans="2:20" hidden="1" outlineLevel="1" x14ac:dyDescent="0.3">
      <c r="B427" s="200"/>
      <c r="C427" s="210" t="s">
        <v>303</v>
      </c>
      <c r="D427" s="118">
        <v>1760</v>
      </c>
      <c r="E427" s="211">
        <v>18638.400000000001</v>
      </c>
      <c r="F427" s="204">
        <f t="shared" si="94"/>
        <v>10.590000000000002</v>
      </c>
      <c r="G427" s="212">
        <v>19104.36</v>
      </c>
      <c r="H427" s="206">
        <f t="shared" si="92"/>
        <v>10.854750000000001</v>
      </c>
      <c r="I427" s="207">
        <f t="shared" si="88"/>
        <v>2.4999999999999911E-2</v>
      </c>
      <c r="J427" s="208">
        <v>1705</v>
      </c>
      <c r="K427" s="203">
        <f t="shared" si="95"/>
        <v>20537.186999999998</v>
      </c>
      <c r="L427" s="203">
        <f t="shared" si="89"/>
        <v>12.045270967741935</v>
      </c>
      <c r="M427" s="208">
        <f t="shared" si="96"/>
        <v>1670</v>
      </c>
      <c r="N427" s="203">
        <v>21276.53</v>
      </c>
      <c r="O427" s="203">
        <f t="shared" si="93"/>
        <v>12.740437125748503</v>
      </c>
      <c r="P427" s="208">
        <f t="shared" si="97"/>
        <v>1650</v>
      </c>
    </row>
    <row r="428" spans="2:20" hidden="1" outlineLevel="1" x14ac:dyDescent="0.3">
      <c r="B428" s="200"/>
      <c r="C428" s="210" t="s">
        <v>304</v>
      </c>
      <c r="D428" s="118">
        <v>1760</v>
      </c>
      <c r="E428" s="211">
        <v>18638.400000000001</v>
      </c>
      <c r="F428" s="204">
        <f t="shared" si="94"/>
        <v>10.590000000000002</v>
      </c>
      <c r="G428" s="212">
        <v>19104.36</v>
      </c>
      <c r="H428" s="206">
        <f t="shared" si="92"/>
        <v>10.854750000000001</v>
      </c>
      <c r="I428" s="207">
        <f t="shared" si="88"/>
        <v>2.4999999999999911E-2</v>
      </c>
      <c r="J428" s="208">
        <v>1705</v>
      </c>
      <c r="K428" s="203">
        <f t="shared" si="95"/>
        <v>20537.186999999998</v>
      </c>
      <c r="L428" s="203">
        <f t="shared" si="89"/>
        <v>12.045270967741935</v>
      </c>
      <c r="M428" s="208">
        <f t="shared" si="96"/>
        <v>1670</v>
      </c>
      <c r="N428" s="203">
        <v>21276.53</v>
      </c>
      <c r="O428" s="203">
        <f t="shared" si="93"/>
        <v>12.740437125748503</v>
      </c>
      <c r="P428" s="208">
        <f t="shared" si="97"/>
        <v>1650</v>
      </c>
    </row>
    <row r="429" spans="2:20" hidden="1" outlineLevel="1" x14ac:dyDescent="0.3">
      <c r="B429" s="200"/>
      <c r="C429" s="210" t="s">
        <v>305</v>
      </c>
      <c r="D429" s="118">
        <v>1760</v>
      </c>
      <c r="E429" s="211">
        <v>18638.400000000001</v>
      </c>
      <c r="F429" s="204">
        <f t="shared" si="94"/>
        <v>10.590000000000002</v>
      </c>
      <c r="G429" s="212">
        <v>19104.36</v>
      </c>
      <c r="H429" s="206">
        <f t="shared" si="92"/>
        <v>10.854750000000001</v>
      </c>
      <c r="I429" s="207">
        <f t="shared" si="88"/>
        <v>2.4999999999999911E-2</v>
      </c>
      <c r="J429" s="208">
        <v>1705</v>
      </c>
      <c r="K429" s="203">
        <f t="shared" si="95"/>
        <v>20537.186999999998</v>
      </c>
      <c r="L429" s="203">
        <f t="shared" si="89"/>
        <v>12.045270967741935</v>
      </c>
      <c r="M429" s="208">
        <f t="shared" si="96"/>
        <v>1670</v>
      </c>
      <c r="N429" s="203">
        <v>21276.53</v>
      </c>
      <c r="O429" s="203">
        <f t="shared" si="93"/>
        <v>12.740437125748503</v>
      </c>
      <c r="P429" s="208">
        <f t="shared" si="97"/>
        <v>1650</v>
      </c>
    </row>
    <row r="430" spans="2:20" hidden="1" outlineLevel="1" x14ac:dyDescent="0.3">
      <c r="B430" s="200"/>
      <c r="C430" s="210" t="s">
        <v>306</v>
      </c>
      <c r="D430" s="118">
        <v>1760</v>
      </c>
      <c r="E430" s="211">
        <v>18638.400000000001</v>
      </c>
      <c r="F430" s="204">
        <f t="shared" si="94"/>
        <v>10.590000000000002</v>
      </c>
      <c r="G430" s="212">
        <v>19104.36</v>
      </c>
      <c r="H430" s="206">
        <f t="shared" si="92"/>
        <v>10.854750000000001</v>
      </c>
      <c r="I430" s="207">
        <f t="shared" si="88"/>
        <v>2.4999999999999911E-2</v>
      </c>
      <c r="J430" s="208">
        <v>1705</v>
      </c>
      <c r="K430" s="203">
        <f t="shared" si="95"/>
        <v>20537.186999999998</v>
      </c>
      <c r="L430" s="203">
        <f t="shared" si="89"/>
        <v>12.045270967741935</v>
      </c>
      <c r="M430" s="208">
        <f t="shared" si="96"/>
        <v>1670</v>
      </c>
      <c r="N430" s="203">
        <v>21276.53</v>
      </c>
      <c r="O430" s="203">
        <f t="shared" si="93"/>
        <v>12.740437125748503</v>
      </c>
      <c r="P430" s="208">
        <f t="shared" si="97"/>
        <v>1650</v>
      </c>
    </row>
    <row r="431" spans="2:20" hidden="1" outlineLevel="1" x14ac:dyDescent="0.3">
      <c r="B431" s="200"/>
      <c r="C431" s="210" t="s">
        <v>307</v>
      </c>
      <c r="D431" s="118">
        <v>1760</v>
      </c>
      <c r="E431" s="211">
        <v>18638.400000000001</v>
      </c>
      <c r="F431" s="204">
        <f t="shared" si="94"/>
        <v>10.590000000000002</v>
      </c>
      <c r="G431" s="212">
        <v>19104.36</v>
      </c>
      <c r="H431" s="206">
        <f t="shared" si="92"/>
        <v>10.854750000000001</v>
      </c>
      <c r="I431" s="207">
        <f t="shared" si="88"/>
        <v>2.4999999999999911E-2</v>
      </c>
      <c r="J431" s="208">
        <v>1705</v>
      </c>
      <c r="K431" s="203">
        <f t="shared" si="95"/>
        <v>20537.186999999998</v>
      </c>
      <c r="L431" s="203">
        <f t="shared" si="89"/>
        <v>12.045270967741935</v>
      </c>
      <c r="M431" s="208">
        <f t="shared" si="96"/>
        <v>1670</v>
      </c>
      <c r="N431" s="203">
        <v>21276.53</v>
      </c>
      <c r="O431" s="203">
        <f t="shared" si="93"/>
        <v>12.740437125748503</v>
      </c>
      <c r="P431" s="208">
        <f t="shared" si="97"/>
        <v>1650</v>
      </c>
    </row>
    <row r="432" spans="2:20" hidden="1" outlineLevel="1" x14ac:dyDescent="0.3">
      <c r="B432"/>
      <c r="D432" s="1"/>
      <c r="E432"/>
      <c r="F432"/>
      <c r="G432"/>
      <c r="H432"/>
      <c r="I432"/>
      <c r="J432"/>
      <c r="K432"/>
      <c r="L432" s="213"/>
      <c r="M432" s="213"/>
      <c r="N432" s="213"/>
      <c r="O432"/>
      <c r="P432"/>
      <c r="Q432"/>
    </row>
    <row r="433" spans="2:17" hidden="1" outlineLevel="1" x14ac:dyDescent="0.3">
      <c r="B433" s="191" t="s">
        <v>308</v>
      </c>
      <c r="C433" s="1" t="s">
        <v>309</v>
      </c>
      <c r="D433" s="1"/>
      <c r="E433"/>
      <c r="F433"/>
      <c r="G433"/>
      <c r="H433"/>
      <c r="I433"/>
      <c r="J433" s="214" t="s">
        <v>310</v>
      </c>
      <c r="K433"/>
      <c r="L433" s="213"/>
      <c r="M433" s="213"/>
      <c r="N433" s="213"/>
      <c r="O433"/>
      <c r="P433"/>
      <c r="Q433"/>
    </row>
    <row r="434" spans="2:17" hidden="1" outlineLevel="1" x14ac:dyDescent="0.3">
      <c r="B434" s="191"/>
      <c r="E434"/>
      <c r="F434"/>
      <c r="G434"/>
      <c r="H434"/>
      <c r="I434"/>
      <c r="J434" s="1" t="s">
        <v>65</v>
      </c>
      <c r="K434" s="65">
        <v>1.2E-2</v>
      </c>
      <c r="L434" s="195">
        <f>+K434</f>
        <v>1.2E-2</v>
      </c>
      <c r="M434" s="213"/>
      <c r="N434" s="213"/>
      <c r="O434"/>
      <c r="P434"/>
      <c r="Q434"/>
    </row>
    <row r="435" spans="2:17" hidden="1" outlineLevel="1" x14ac:dyDescent="0.3">
      <c r="B435" s="191"/>
      <c r="C435" s="215"/>
      <c r="G435" s="2"/>
      <c r="H435" s="2"/>
      <c r="I435" s="2"/>
      <c r="J435" s="1" t="s">
        <v>67</v>
      </c>
      <c r="K435" s="65">
        <v>0</v>
      </c>
      <c r="L435" s="216">
        <v>-3.0000000000000001E-3</v>
      </c>
      <c r="M435" s="213"/>
      <c r="N435" s="213"/>
      <c r="O435"/>
      <c r="P435"/>
      <c r="Q435"/>
    </row>
    <row r="436" spans="2:17" hidden="1" outlineLevel="1" x14ac:dyDescent="0.3">
      <c r="B436" s="191"/>
      <c r="C436" s="71"/>
      <c r="D436" s="110"/>
      <c r="E436"/>
      <c r="F436"/>
      <c r="G436"/>
      <c r="H436"/>
      <c r="I436"/>
      <c r="J436" s="1" t="s">
        <v>70</v>
      </c>
      <c r="K436" s="65">
        <v>6.4000000000000001E-2</v>
      </c>
      <c r="L436" s="195">
        <f>+K436</f>
        <v>6.4000000000000001E-2</v>
      </c>
      <c r="M436" s="213"/>
      <c r="N436" s="213"/>
      <c r="O436"/>
      <c r="P436"/>
      <c r="Q436"/>
    </row>
    <row r="437" spans="2:17" hidden="1" outlineLevel="1" x14ac:dyDescent="0.3">
      <c r="B437" s="191" t="s">
        <v>311</v>
      </c>
      <c r="C437" s="1" t="s">
        <v>312</v>
      </c>
      <c r="D437" s="1"/>
      <c r="E437"/>
      <c r="F437"/>
      <c r="G437"/>
      <c r="H437"/>
      <c r="I437"/>
      <c r="J437" s="1" t="s">
        <v>72</v>
      </c>
      <c r="K437" s="65">
        <v>5.3999999999999999E-2</v>
      </c>
      <c r="L437" s="195">
        <f>+K437</f>
        <v>5.3999999999999999E-2</v>
      </c>
      <c r="M437" s="213"/>
      <c r="N437" s="213"/>
      <c r="O437"/>
      <c r="P437"/>
      <c r="Q437"/>
    </row>
    <row r="438" spans="2:17" hidden="1" outlineLevel="1" x14ac:dyDescent="0.3">
      <c r="B438" s="191"/>
      <c r="C438" s="1" t="s">
        <v>313</v>
      </c>
      <c r="D438" s="1"/>
      <c r="E438"/>
      <c r="F438"/>
      <c r="G438"/>
      <c r="H438"/>
      <c r="I438"/>
      <c r="J438"/>
      <c r="K438" s="217">
        <f>SUM(K434:K437)</f>
        <v>0.13</v>
      </c>
      <c r="L438" s="217">
        <f>SUM(L434:L437)</f>
        <v>0.127</v>
      </c>
      <c r="M438" s="213"/>
      <c r="N438" s="213"/>
      <c r="O438"/>
      <c r="P438"/>
      <c r="Q438"/>
    </row>
    <row r="439" spans="2:17" hidden="1" outlineLevel="1" x14ac:dyDescent="0.3">
      <c r="B439" t="s">
        <v>314</v>
      </c>
      <c r="C439" t="s">
        <v>315</v>
      </c>
      <c r="D439" s="218">
        <v>0.15</v>
      </c>
      <c r="E439" s="1"/>
      <c r="F439"/>
      <c r="G439"/>
      <c r="H439"/>
      <c r="I439"/>
      <c r="J439"/>
      <c r="K439" s="195">
        <v>-4.4999999999999998E-2</v>
      </c>
      <c r="L439" s="195">
        <v>-4.4999999999999998E-2</v>
      </c>
      <c r="M439"/>
      <c r="N439"/>
      <c r="O439"/>
      <c r="P439"/>
      <c r="Q439"/>
    </row>
    <row r="440" spans="2:17" hidden="1" outlineLevel="1" x14ac:dyDescent="0.3">
      <c r="B440"/>
      <c r="C440" t="s">
        <v>297</v>
      </c>
      <c r="D440" s="218">
        <v>0.22</v>
      </c>
      <c r="E440" s="1"/>
      <c r="F440"/>
      <c r="G440"/>
      <c r="H440"/>
      <c r="I440"/>
      <c r="J440" s="1" t="s">
        <v>316</v>
      </c>
      <c r="K440" s="219">
        <f>+K438+K439</f>
        <v>8.5000000000000006E-2</v>
      </c>
      <c r="L440" s="217">
        <f>+L438+L439</f>
        <v>8.2000000000000003E-2</v>
      </c>
      <c r="M440"/>
      <c r="N440"/>
      <c r="O440"/>
      <c r="P440"/>
      <c r="Q440"/>
    </row>
    <row r="441" spans="2:17" hidden="1" outlineLevel="1" x14ac:dyDescent="0.3">
      <c r="B441" t="s">
        <v>317</v>
      </c>
      <c r="C441"/>
      <c r="D441" s="218">
        <v>0.25</v>
      </c>
      <c r="E441"/>
      <c r="F441"/>
      <c r="G441"/>
      <c r="H441"/>
      <c r="I441"/>
      <c r="J441"/>
      <c r="K441"/>
      <c r="L441"/>
      <c r="M441"/>
      <c r="N441"/>
      <c r="O441"/>
      <c r="P441"/>
      <c r="Q441"/>
    </row>
    <row r="442" spans="2:17" hidden="1" outlineLevel="1" x14ac:dyDescent="0.3">
      <c r="B442" t="s">
        <v>318</v>
      </c>
      <c r="C442" t="s">
        <v>319</v>
      </c>
      <c r="D442"/>
      <c r="E442"/>
      <c r="F442"/>
      <c r="G442"/>
      <c r="H442"/>
      <c r="I442"/>
      <c r="J442"/>
      <c r="K442" s="195">
        <v>-5.5E-2</v>
      </c>
      <c r="L442"/>
      <c r="M442"/>
      <c r="N442"/>
      <c r="O442"/>
      <c r="P442"/>
      <c r="Q442"/>
    </row>
    <row r="443" spans="2:17" hidden="1" outlineLevel="1" x14ac:dyDescent="0.3">
      <c r="B443" t="s">
        <v>320</v>
      </c>
      <c r="C443" s="220" t="s">
        <v>321</v>
      </c>
      <c r="D443"/>
      <c r="E443"/>
      <c r="F443"/>
      <c r="G443"/>
      <c r="H443"/>
      <c r="I443" s="221"/>
      <c r="J443" t="s">
        <v>322</v>
      </c>
      <c r="K443" s="219">
        <f>+K438+K442</f>
        <v>7.5000000000000011E-2</v>
      </c>
      <c r="L443"/>
      <c r="M443"/>
      <c r="N443"/>
      <c r="O443"/>
      <c r="P443"/>
      <c r="Q443"/>
    </row>
    <row r="444" spans="2:17" hidden="1" outlineLevel="1" x14ac:dyDescent="0.3">
      <c r="B444"/>
      <c r="C444" s="220" t="s">
        <v>323</v>
      </c>
      <c r="D444"/>
      <c r="E444"/>
      <c r="F444"/>
      <c r="G444"/>
      <c r="H444"/>
      <c r="I444" s="221"/>
      <c r="J444"/>
      <c r="K444"/>
      <c r="L444"/>
      <c r="M444"/>
      <c r="N444"/>
      <c r="O444"/>
      <c r="P444"/>
      <c r="Q444"/>
    </row>
    <row r="445" spans="2:17" hidden="1" outlineLevel="1" x14ac:dyDescent="0.3">
      <c r="B445" t="s">
        <v>110</v>
      </c>
      <c r="C445" t="s">
        <v>298</v>
      </c>
      <c r="D445" t="s">
        <v>324</v>
      </c>
      <c r="E445"/>
      <c r="F445"/>
      <c r="G445"/>
      <c r="H445"/>
      <c r="I445"/>
      <c r="J445"/>
      <c r="K445"/>
      <c r="L445"/>
      <c r="M445"/>
      <c r="N445"/>
      <c r="O445"/>
      <c r="P445"/>
      <c r="Q445"/>
    </row>
    <row r="446" spans="2:17" hidden="1" outlineLevel="1" x14ac:dyDescent="0.3">
      <c r="B446"/>
      <c r="C446" t="s">
        <v>325</v>
      </c>
      <c r="D446" t="s">
        <v>326</v>
      </c>
      <c r="E446"/>
      <c r="F446"/>
      <c r="G446"/>
      <c r="H446"/>
      <c r="I446"/>
      <c r="J446"/>
      <c r="K446"/>
      <c r="L446"/>
      <c r="M446"/>
      <c r="N446"/>
      <c r="O446"/>
      <c r="P446"/>
      <c r="Q446"/>
    </row>
    <row r="447" spans="2:17" hidden="1" outlineLevel="1" x14ac:dyDescent="0.3">
      <c r="B447"/>
      <c r="C447" t="s">
        <v>327</v>
      </c>
      <c r="D447" t="s">
        <v>328</v>
      </c>
      <c r="E447"/>
      <c r="F447"/>
      <c r="G447"/>
      <c r="H447"/>
      <c r="I447"/>
      <c r="J447"/>
      <c r="K447"/>
      <c r="L447"/>
      <c r="M447"/>
      <c r="N447"/>
      <c r="O447"/>
      <c r="P447"/>
      <c r="Q447"/>
    </row>
    <row r="448" spans="2:17" hidden="1" outlineLevel="1" x14ac:dyDescent="0.3">
      <c r="B448"/>
      <c r="C448"/>
      <c r="D448"/>
      <c r="E448"/>
      <c r="F448"/>
      <c r="G448"/>
      <c r="H448" s="221"/>
      <c r="I448"/>
      <c r="J448"/>
      <c r="K448"/>
      <c r="L448"/>
      <c r="M448"/>
      <c r="N448"/>
      <c r="O448"/>
      <c r="P448"/>
      <c r="Q448"/>
    </row>
    <row r="449" spans="2:17" collapsed="1" x14ac:dyDescent="0.3">
      <c r="B449"/>
      <c r="C449"/>
      <c r="D449"/>
      <c r="E449"/>
      <c r="F449"/>
      <c r="G449"/>
      <c r="H449" s="221"/>
      <c r="I449"/>
      <c r="J449"/>
      <c r="K449"/>
      <c r="L449"/>
      <c r="M449"/>
      <c r="N449"/>
      <c r="O449"/>
      <c r="P449"/>
      <c r="Q449"/>
    </row>
    <row r="450" spans="2:17" ht="20.100000000000001" customHeight="1" x14ac:dyDescent="0.3">
      <c r="B450" s="176" t="s">
        <v>329</v>
      </c>
      <c r="C450" s="177"/>
      <c r="D450" s="178"/>
      <c r="E450" s="178"/>
      <c r="F450" s="178"/>
      <c r="G450" s="177"/>
      <c r="H450" s="177"/>
      <c r="I450" s="177"/>
      <c r="J450" s="177"/>
      <c r="K450" s="177"/>
      <c r="L450" s="177"/>
    </row>
    <row r="451" spans="2:17" ht="15" hidden="1" customHeight="1" outlineLevel="1" x14ac:dyDescent="0.3">
      <c r="B451" s="1" t="s">
        <v>330</v>
      </c>
    </row>
    <row r="452" spans="2:17" ht="15" hidden="1" customHeight="1" outlineLevel="1" x14ac:dyDescent="0.3">
      <c r="B452" s="1" t="s">
        <v>331</v>
      </c>
    </row>
    <row r="453" spans="2:17" ht="15" hidden="1" customHeight="1" outlineLevel="1" x14ac:dyDescent="0.3">
      <c r="B453" s="1" t="s">
        <v>332</v>
      </c>
    </row>
    <row r="454" spans="2:17" ht="18" hidden="1" outlineLevel="1" x14ac:dyDescent="0.3">
      <c r="B454" s="222"/>
      <c r="C454" s="223"/>
      <c r="D454" s="10"/>
      <c r="E454" s="10">
        <f>+(E456/D456)-1</f>
        <v>1.6000000000000014E-2</v>
      </c>
      <c r="F454" s="10">
        <v>2.3E-2</v>
      </c>
      <c r="G454" s="10">
        <v>2.3E-2</v>
      </c>
      <c r="I454" s="10">
        <v>4.4999999999999998E-2</v>
      </c>
      <c r="J454" s="10">
        <v>4.4999999999999998E-2</v>
      </c>
      <c r="K454" s="10">
        <v>0.03</v>
      </c>
      <c r="L454" s="2">
        <v>1704</v>
      </c>
    </row>
    <row r="455" spans="2:17" ht="28.8" hidden="1" outlineLevel="1" x14ac:dyDescent="0.3">
      <c r="B455" s="71" t="s">
        <v>333</v>
      </c>
      <c r="D455" s="123" t="s">
        <v>334</v>
      </c>
      <c r="E455" s="123" t="s">
        <v>335</v>
      </c>
      <c r="F455" s="123">
        <v>2019</v>
      </c>
      <c r="G455" s="123">
        <v>2020</v>
      </c>
      <c r="I455" s="123">
        <v>2022</v>
      </c>
      <c r="J455" s="123">
        <v>2023</v>
      </c>
      <c r="K455" s="224">
        <v>2024</v>
      </c>
      <c r="L455" s="225" t="s">
        <v>336</v>
      </c>
      <c r="M455" s="58" t="s">
        <v>337</v>
      </c>
      <c r="N455" s="58" t="s">
        <v>338</v>
      </c>
    </row>
    <row r="456" spans="2:17" ht="30" hidden="1" customHeight="1" outlineLevel="1" x14ac:dyDescent="0.3">
      <c r="B456" s="226" t="s">
        <v>294</v>
      </c>
      <c r="C456" s="54" t="s">
        <v>339</v>
      </c>
      <c r="D456" s="140">
        <v>24037.5</v>
      </c>
      <c r="E456" s="141">
        <v>24422.1</v>
      </c>
      <c r="F456" s="141">
        <f>+E456+E456*$F$454</f>
        <v>24983.808299999997</v>
      </c>
      <c r="G456" s="141">
        <f>+F456+F456*$G$454</f>
        <v>25558.435890899997</v>
      </c>
      <c r="I456" s="141">
        <v>26708.7</v>
      </c>
      <c r="J456" s="141">
        <f t="shared" ref="J456:J463" si="98">I456*(1+$J$454)</f>
        <v>27910.591499999999</v>
      </c>
      <c r="K456" s="141">
        <f>+J456*(1+$K$454)</f>
        <v>28747.909244999999</v>
      </c>
      <c r="L456" s="141">
        <f>+K456/$L$454</f>
        <v>16.870838758802815</v>
      </c>
      <c r="M456" s="141">
        <v>3.18</v>
      </c>
      <c r="N456" s="141">
        <f t="shared" ref="N456:N463" si="99">L456*0.2</f>
        <v>3.374167751760563</v>
      </c>
    </row>
    <row r="457" spans="2:17" ht="30" hidden="1" customHeight="1" outlineLevel="1" x14ac:dyDescent="0.3">
      <c r="B457" s="226" t="s">
        <v>297</v>
      </c>
      <c r="C457" s="54" t="s">
        <v>340</v>
      </c>
      <c r="D457" s="143">
        <v>21928.5</v>
      </c>
      <c r="E457" s="95">
        <v>22279.35</v>
      </c>
      <c r="F457" s="95">
        <f t="shared" ref="F457:F463" si="100">+E457+E457*$F$454</f>
        <v>22791.77505</v>
      </c>
      <c r="G457" s="95">
        <f t="shared" ref="G457:G463" si="101">+F457+F457*$G$454</f>
        <v>23315.98587615</v>
      </c>
      <c r="I457" s="95">
        <v>24365.25</v>
      </c>
      <c r="J457" s="95">
        <f t="shared" si="98"/>
        <v>25461.686249999999</v>
      </c>
      <c r="K457" s="95">
        <f t="shared" ref="K457:K463" si="102">+J457*(1+$K$454)</f>
        <v>26225.5368375</v>
      </c>
      <c r="L457" s="141">
        <f t="shared" ref="L457:L463" si="103">+K457/$L$454</f>
        <v>15.390573261443661</v>
      </c>
      <c r="M457" s="95">
        <v>3.18</v>
      </c>
      <c r="N457" s="95">
        <f t="shared" si="99"/>
        <v>3.0781146522887326</v>
      </c>
    </row>
    <row r="458" spans="2:17" ht="30" hidden="1" customHeight="1" outlineLevel="1" x14ac:dyDescent="0.3">
      <c r="B458" s="226" t="s">
        <v>341</v>
      </c>
      <c r="C458" s="125" t="s">
        <v>342</v>
      </c>
      <c r="D458" s="143">
        <v>18555</v>
      </c>
      <c r="E458" s="95">
        <v>18851.849999999999</v>
      </c>
      <c r="F458" s="95">
        <f t="shared" si="100"/>
        <v>19285.44255</v>
      </c>
      <c r="G458" s="95">
        <f t="shared" si="101"/>
        <v>19729.007728649998</v>
      </c>
      <c r="I458" s="95">
        <v>20616.900000000001</v>
      </c>
      <c r="J458" s="95">
        <f t="shared" si="98"/>
        <v>21544.660500000002</v>
      </c>
      <c r="K458" s="95">
        <f t="shared" si="102"/>
        <v>22191.000315000001</v>
      </c>
      <c r="L458" s="141">
        <f t="shared" si="103"/>
        <v>13.022887508802818</v>
      </c>
      <c r="M458" s="95">
        <v>3.18</v>
      </c>
      <c r="N458" s="95">
        <f t="shared" si="99"/>
        <v>2.6045775017605637</v>
      </c>
    </row>
    <row r="459" spans="2:17" ht="30" hidden="1" customHeight="1" outlineLevel="1" x14ac:dyDescent="0.3">
      <c r="B459" s="226" t="s">
        <v>343</v>
      </c>
      <c r="C459" s="125"/>
      <c r="D459" s="143">
        <v>18555</v>
      </c>
      <c r="E459" s="95">
        <v>18851.849999999999</v>
      </c>
      <c r="F459" s="95">
        <f t="shared" si="100"/>
        <v>19285.44255</v>
      </c>
      <c r="G459" s="95">
        <f t="shared" si="101"/>
        <v>19729.007728649998</v>
      </c>
      <c r="I459" s="95">
        <v>20616.900000000001</v>
      </c>
      <c r="J459" s="95">
        <f t="shared" si="98"/>
        <v>21544.660500000002</v>
      </c>
      <c r="K459" s="95">
        <f t="shared" si="102"/>
        <v>22191.000315000001</v>
      </c>
      <c r="L459" s="141">
        <f>+K459/1613</f>
        <v>13.757594739615623</v>
      </c>
      <c r="M459" s="95">
        <v>3.18</v>
      </c>
      <c r="N459" s="95">
        <f t="shared" si="99"/>
        <v>2.7515189479231248</v>
      </c>
    </row>
    <row r="460" spans="2:17" ht="30" hidden="1" customHeight="1" outlineLevel="1" x14ac:dyDescent="0.3">
      <c r="B460" s="226" t="s">
        <v>344</v>
      </c>
      <c r="C460" s="125" t="s">
        <v>345</v>
      </c>
      <c r="D460" s="143">
        <v>18555</v>
      </c>
      <c r="E460" s="95">
        <v>18851.849999999999</v>
      </c>
      <c r="F460" s="95">
        <f t="shared" si="100"/>
        <v>19285.44255</v>
      </c>
      <c r="G460" s="95">
        <f t="shared" si="101"/>
        <v>19729.007728649998</v>
      </c>
      <c r="I460" s="95">
        <v>20616.900000000001</v>
      </c>
      <c r="J460" s="95">
        <f t="shared" si="98"/>
        <v>21544.660500000002</v>
      </c>
      <c r="K460" s="95">
        <f t="shared" si="102"/>
        <v>22191.000315000001</v>
      </c>
      <c r="L460" s="141">
        <f>+K460/$L$454</f>
        <v>13.022887508802818</v>
      </c>
      <c r="M460" s="95">
        <v>3.18</v>
      </c>
      <c r="N460" s="95">
        <f t="shared" si="99"/>
        <v>2.6045775017605637</v>
      </c>
    </row>
    <row r="461" spans="2:17" ht="30" hidden="1" customHeight="1" outlineLevel="1" x14ac:dyDescent="0.3">
      <c r="B461" s="226" t="s">
        <v>346</v>
      </c>
      <c r="C461" s="125"/>
      <c r="D461" s="143">
        <v>18555</v>
      </c>
      <c r="E461" s="95">
        <v>18851.849999999999</v>
      </c>
      <c r="F461" s="95">
        <f t="shared" si="100"/>
        <v>19285.44255</v>
      </c>
      <c r="G461" s="95">
        <f t="shared" si="101"/>
        <v>19729.007728649998</v>
      </c>
      <c r="I461" s="95">
        <v>20616.900000000001</v>
      </c>
      <c r="J461" s="95">
        <f t="shared" si="98"/>
        <v>21544.660500000002</v>
      </c>
      <c r="K461" s="95">
        <f t="shared" si="102"/>
        <v>22191.000315000001</v>
      </c>
      <c r="L461" s="141">
        <f>+K461/1637</f>
        <v>13.555895122174711</v>
      </c>
      <c r="M461" s="95">
        <v>3.18</v>
      </c>
      <c r="N461" s="95">
        <f t="shared" si="99"/>
        <v>2.7111790244349425</v>
      </c>
    </row>
    <row r="462" spans="2:17" ht="30" hidden="1" customHeight="1" outlineLevel="1" x14ac:dyDescent="0.3">
      <c r="B462" s="226" t="s">
        <v>347</v>
      </c>
      <c r="C462" s="54" t="s">
        <v>348</v>
      </c>
      <c r="D462" s="143">
        <v>17711.25</v>
      </c>
      <c r="E462" s="95">
        <v>17994.599999999999</v>
      </c>
      <c r="F462" s="95">
        <f t="shared" si="100"/>
        <v>18408.4758</v>
      </c>
      <c r="G462" s="95">
        <f t="shared" si="101"/>
        <v>18831.870743399999</v>
      </c>
      <c r="I462" s="95">
        <v>19679.400000000001</v>
      </c>
      <c r="J462" s="95">
        <f t="shared" si="98"/>
        <v>20564.973000000002</v>
      </c>
      <c r="K462" s="95">
        <f t="shared" si="102"/>
        <v>21181.922190000001</v>
      </c>
      <c r="L462" s="141">
        <f t="shared" si="103"/>
        <v>12.430705510563381</v>
      </c>
      <c r="M462" s="95">
        <v>3.18</v>
      </c>
      <c r="N462" s="95">
        <f t="shared" si="99"/>
        <v>2.4861411021126765</v>
      </c>
    </row>
    <row r="463" spans="2:17" ht="30" hidden="1" customHeight="1" outlineLevel="1" x14ac:dyDescent="0.3">
      <c r="B463" s="226" t="s">
        <v>349</v>
      </c>
      <c r="C463" s="54" t="s">
        <v>350</v>
      </c>
      <c r="D463" s="143">
        <v>16868.099999999999</v>
      </c>
      <c r="E463" s="95">
        <v>17137.95</v>
      </c>
      <c r="F463" s="95">
        <f t="shared" si="100"/>
        <v>17532.12285</v>
      </c>
      <c r="G463" s="95">
        <f t="shared" si="101"/>
        <v>17935.361675550001</v>
      </c>
      <c r="I463" s="95">
        <v>18742.5</v>
      </c>
      <c r="J463" s="95">
        <f t="shared" si="98"/>
        <v>19585.912499999999</v>
      </c>
      <c r="K463" s="95">
        <f t="shared" si="102"/>
        <v>20173.489874999999</v>
      </c>
      <c r="L463" s="141">
        <f t="shared" si="103"/>
        <v>11.838902508802816</v>
      </c>
      <c r="M463" s="95">
        <v>3.18</v>
      </c>
      <c r="N463" s="95">
        <f t="shared" si="99"/>
        <v>2.3677805017605631</v>
      </c>
    </row>
    <row r="464" spans="2:17" hidden="1" outlineLevel="1" x14ac:dyDescent="0.3"/>
    <row r="465" spans="2:12" hidden="1" outlineLevel="1" x14ac:dyDescent="0.3">
      <c r="B465" s="1" t="s">
        <v>351</v>
      </c>
      <c r="C465" s="1" t="s">
        <v>352</v>
      </c>
    </row>
    <row r="466" spans="2:12" hidden="1" outlineLevel="1" x14ac:dyDescent="0.3">
      <c r="B466" s="71" t="s">
        <v>353</v>
      </c>
      <c r="C466" s="227">
        <v>1.6E-2</v>
      </c>
    </row>
    <row r="467" spans="2:12" hidden="1" outlineLevel="1" x14ac:dyDescent="0.3">
      <c r="B467" s="71" t="s">
        <v>354</v>
      </c>
      <c r="C467" s="227">
        <v>3.2000000000000001E-2</v>
      </c>
    </row>
    <row r="468" spans="2:12" hidden="1" outlineLevel="1" x14ac:dyDescent="0.3">
      <c r="B468" s="71" t="s">
        <v>355</v>
      </c>
      <c r="C468" s="227">
        <v>4.8000000000000001E-2</v>
      </c>
    </row>
    <row r="469" spans="2:12" hidden="1" outlineLevel="1" x14ac:dyDescent="0.3"/>
    <row r="470" spans="2:12" collapsed="1" x14ac:dyDescent="0.3"/>
    <row r="471" spans="2:12" ht="20.100000000000001" customHeight="1" x14ac:dyDescent="0.3">
      <c r="B471" s="176" t="s">
        <v>356</v>
      </c>
      <c r="C471" s="177"/>
      <c r="D471" s="178"/>
      <c r="E471" s="178"/>
      <c r="F471" s="178"/>
      <c r="G471" s="177"/>
      <c r="H471" s="177"/>
      <c r="I471" s="177"/>
      <c r="J471" s="177"/>
      <c r="K471" s="177"/>
      <c r="L471" s="177"/>
    </row>
    <row r="472" spans="2:12" hidden="1" outlineLevel="1" x14ac:dyDescent="0.3"/>
    <row r="473" spans="2:12" hidden="1" outlineLevel="1" x14ac:dyDescent="0.3">
      <c r="B473" s="1" t="s">
        <v>357</v>
      </c>
    </row>
    <row r="474" spans="2:12" hidden="1" outlineLevel="1" x14ac:dyDescent="0.3">
      <c r="B474" s="1" t="s">
        <v>358</v>
      </c>
    </row>
    <row r="475" spans="2:12" hidden="1" outlineLevel="1" x14ac:dyDescent="0.3">
      <c r="B475" t="s">
        <v>359</v>
      </c>
    </row>
    <row r="476" spans="2:12" hidden="1" outlineLevel="1" x14ac:dyDescent="0.3">
      <c r="B476" t="s">
        <v>360</v>
      </c>
    </row>
    <row r="477" spans="2:12" hidden="1" outlineLevel="1" x14ac:dyDescent="0.3">
      <c r="B477" t="s">
        <v>361</v>
      </c>
    </row>
    <row r="478" spans="2:12" hidden="1" outlineLevel="1" x14ac:dyDescent="0.3">
      <c r="B478" t="s">
        <v>362</v>
      </c>
    </row>
    <row r="479" spans="2:12" hidden="1" outlineLevel="1" x14ac:dyDescent="0.3">
      <c r="B479" t="s">
        <v>363</v>
      </c>
    </row>
    <row r="480" spans="2:12" hidden="1" outlineLevel="1" x14ac:dyDescent="0.3">
      <c r="B480" t="s">
        <v>364</v>
      </c>
    </row>
    <row r="481" spans="2:12" hidden="1" outlineLevel="1" x14ac:dyDescent="0.3">
      <c r="G481" s="1">
        <v>2018</v>
      </c>
      <c r="H481" s="1">
        <v>2019</v>
      </c>
      <c r="I481" s="1">
        <v>2020</v>
      </c>
      <c r="J481" s="1">
        <v>2021</v>
      </c>
      <c r="K481" s="1">
        <v>2022</v>
      </c>
      <c r="L481" s="1" t="s">
        <v>365</v>
      </c>
    </row>
    <row r="482" spans="2:12" hidden="1" outlineLevel="1" x14ac:dyDescent="0.3">
      <c r="F482" s="228" t="s">
        <v>366</v>
      </c>
      <c r="G482" s="229">
        <v>1710</v>
      </c>
      <c r="H482" s="229">
        <v>1710</v>
      </c>
      <c r="I482" s="229">
        <v>1710</v>
      </c>
      <c r="J482" s="229">
        <v>1685</v>
      </c>
      <c r="K482" s="229">
        <v>1665</v>
      </c>
      <c r="L482" s="229">
        <v>1660</v>
      </c>
    </row>
    <row r="483" spans="2:12" hidden="1" outlineLevel="1" x14ac:dyDescent="0.3">
      <c r="F483" s="230" t="s">
        <v>367</v>
      </c>
      <c r="G483" s="231"/>
      <c r="H483" s="231">
        <v>1650</v>
      </c>
      <c r="I483" s="231">
        <v>1620</v>
      </c>
      <c r="J483" s="231">
        <v>1592</v>
      </c>
      <c r="K483" s="231">
        <v>1592</v>
      </c>
      <c r="L483" s="231">
        <v>1592</v>
      </c>
    </row>
    <row r="484" spans="2:12" hidden="1" outlineLevel="1" x14ac:dyDescent="0.3">
      <c r="G484" s="229"/>
      <c r="H484" s="229"/>
      <c r="I484" s="229"/>
      <c r="J484" s="229"/>
      <c r="K484" s="229"/>
      <c r="L484" s="229"/>
    </row>
    <row r="485" spans="2:12" hidden="1" outlineLevel="1" x14ac:dyDescent="0.3">
      <c r="E485" s="1"/>
      <c r="F485" s="1"/>
    </row>
    <row r="486" spans="2:12" hidden="1" outlineLevel="1" x14ac:dyDescent="0.3">
      <c r="E486" s="121" t="s">
        <v>368</v>
      </c>
      <c r="F486" s="121" t="s">
        <v>369</v>
      </c>
    </row>
    <row r="487" spans="2:12" hidden="1" outlineLevel="1" x14ac:dyDescent="0.3">
      <c r="E487" s="65">
        <v>7.4999999999999997E-3</v>
      </c>
      <c r="F487" s="65">
        <v>7.2499999999999995E-2</v>
      </c>
      <c r="G487" s="1" t="s">
        <v>370</v>
      </c>
    </row>
    <row r="488" spans="2:12" hidden="1" outlineLevel="1" x14ac:dyDescent="0.3">
      <c r="B488" s="232" t="s">
        <v>294</v>
      </c>
      <c r="E488" s="1"/>
      <c r="F488" s="1"/>
    </row>
    <row r="489" spans="2:12" hidden="1" outlineLevel="1" x14ac:dyDescent="0.3">
      <c r="B489" s="1" t="s">
        <v>371</v>
      </c>
      <c r="C489" s="1" t="s">
        <v>372</v>
      </c>
      <c r="E489" s="110">
        <f>3894.32+3894.32*E487</f>
        <v>3923.5273999999999</v>
      </c>
      <c r="F489" s="110">
        <f>E489+E489*$F$487</f>
        <v>4207.9831365</v>
      </c>
      <c r="G489" s="110">
        <f>+F489*16</f>
        <v>67327.730184</v>
      </c>
    </row>
    <row r="490" spans="2:12" hidden="1" outlineLevel="1" x14ac:dyDescent="0.3">
      <c r="B490" s="232" t="s">
        <v>297</v>
      </c>
      <c r="E490" s="1"/>
      <c r="F490" s="1"/>
    </row>
    <row r="491" spans="2:12" hidden="1" outlineLevel="1" x14ac:dyDescent="0.3">
      <c r="B491" s="1" t="s">
        <v>371</v>
      </c>
      <c r="C491" s="1" t="s">
        <v>373</v>
      </c>
      <c r="E491" s="233">
        <v>3785.89</v>
      </c>
      <c r="F491" s="110">
        <f t="shared" ref="F491:F496" si="104">E491+E491*$F$487</f>
        <v>4060.367025</v>
      </c>
      <c r="G491" s="110">
        <f t="shared" ref="G491:G496" si="105">+F491*16</f>
        <v>64965.8724</v>
      </c>
    </row>
    <row r="492" spans="2:12" hidden="1" outlineLevel="1" x14ac:dyDescent="0.3">
      <c r="B492" s="1" t="s">
        <v>374</v>
      </c>
      <c r="C492" s="1" t="s">
        <v>375</v>
      </c>
      <c r="E492" s="233">
        <v>2615.15</v>
      </c>
      <c r="F492" s="110">
        <f t="shared" si="104"/>
        <v>2804.7483750000001</v>
      </c>
      <c r="G492" s="110">
        <f t="shared" si="105"/>
        <v>44875.974000000002</v>
      </c>
    </row>
    <row r="493" spans="2:12" hidden="1" outlineLevel="1" x14ac:dyDescent="0.3">
      <c r="B493" s="1" t="s">
        <v>376</v>
      </c>
      <c r="C493" s="1" t="s">
        <v>377</v>
      </c>
      <c r="E493" s="233">
        <v>2389.12</v>
      </c>
      <c r="F493" s="110">
        <f t="shared" si="104"/>
        <v>2562.3312000000001</v>
      </c>
      <c r="G493" s="110">
        <f t="shared" si="105"/>
        <v>40997.299200000001</v>
      </c>
    </row>
    <row r="494" spans="2:12" hidden="1" outlineLevel="1" x14ac:dyDescent="0.3">
      <c r="B494" s="1" t="s">
        <v>378</v>
      </c>
      <c r="C494" s="1" t="s">
        <v>379</v>
      </c>
      <c r="E494" s="233">
        <v>2250.23</v>
      </c>
      <c r="F494" s="110">
        <f t="shared" si="104"/>
        <v>2413.3716749999999</v>
      </c>
      <c r="G494" s="110">
        <f t="shared" si="105"/>
        <v>38613.946799999998</v>
      </c>
    </row>
    <row r="495" spans="2:12" hidden="1" outlineLevel="1" x14ac:dyDescent="0.3">
      <c r="B495" s="1" t="s">
        <v>380</v>
      </c>
      <c r="C495" s="1" t="s">
        <v>381</v>
      </c>
      <c r="E495" s="233">
        <v>2239.7800000000002</v>
      </c>
      <c r="F495" s="110">
        <f t="shared" si="104"/>
        <v>2402.1640500000003</v>
      </c>
      <c r="G495" s="110">
        <f t="shared" si="105"/>
        <v>38434.624800000005</v>
      </c>
    </row>
    <row r="496" spans="2:12" hidden="1" outlineLevel="1" x14ac:dyDescent="0.3">
      <c r="B496" s="1" t="s">
        <v>382</v>
      </c>
      <c r="C496" s="1" t="s">
        <v>383</v>
      </c>
      <c r="E496" s="233">
        <v>1863.1</v>
      </c>
      <c r="F496" s="110">
        <f t="shared" si="104"/>
        <v>1998.1747499999999</v>
      </c>
      <c r="G496" s="110">
        <f t="shared" si="105"/>
        <v>31970.795999999998</v>
      </c>
    </row>
    <row r="497" spans="2:15" hidden="1" outlineLevel="1" x14ac:dyDescent="0.3">
      <c r="B497" s="232" t="s">
        <v>299</v>
      </c>
      <c r="E497" s="1"/>
      <c r="F497" s="1"/>
    </row>
    <row r="498" spans="2:15" hidden="1" outlineLevel="1" x14ac:dyDescent="0.3">
      <c r="B498" s="232" t="s">
        <v>384</v>
      </c>
      <c r="E498" s="1"/>
      <c r="F498" s="1"/>
    </row>
    <row r="499" spans="2:15" hidden="1" outlineLevel="1" x14ac:dyDescent="0.3">
      <c r="B499" s="1" t="s">
        <v>371</v>
      </c>
      <c r="C499" s="1" t="s">
        <v>385</v>
      </c>
      <c r="E499" s="233">
        <v>1693.39</v>
      </c>
      <c r="F499" s="110">
        <f>E499+E499*$F$487</f>
        <v>1816.1607750000001</v>
      </c>
      <c r="G499" s="110">
        <f t="shared" ref="G499:G501" si="106">+F499*16</f>
        <v>29058.572400000001</v>
      </c>
    </row>
    <row r="500" spans="2:15" hidden="1" outlineLevel="1" x14ac:dyDescent="0.3">
      <c r="B500" s="1" t="s">
        <v>374</v>
      </c>
      <c r="C500" s="1" t="s">
        <v>386</v>
      </c>
      <c r="E500" s="233">
        <v>1489</v>
      </c>
      <c r="F500" s="110">
        <f>E500+E500*$F$487</f>
        <v>1596.9524999999999</v>
      </c>
      <c r="G500" s="110">
        <f t="shared" si="106"/>
        <v>25551.239999999998</v>
      </c>
    </row>
    <row r="501" spans="2:15" hidden="1" outlineLevel="1" x14ac:dyDescent="0.3">
      <c r="B501" s="1" t="s">
        <v>378</v>
      </c>
      <c r="C501" s="1" t="s">
        <v>307</v>
      </c>
      <c r="E501" s="233">
        <v>1377.07</v>
      </c>
      <c r="F501" s="110">
        <f>E501+E501*$F$487</f>
        <v>1476.907575</v>
      </c>
      <c r="G501" s="110">
        <f t="shared" si="106"/>
        <v>23630.521199999999</v>
      </c>
    </row>
    <row r="502" spans="2:15" hidden="1" outlineLevel="1" x14ac:dyDescent="0.3">
      <c r="B502" s="232" t="s">
        <v>387</v>
      </c>
      <c r="E502" s="1"/>
      <c r="F502" s="1"/>
    </row>
    <row r="503" spans="2:15" hidden="1" outlineLevel="1" x14ac:dyDescent="0.3">
      <c r="B503" s="1" t="s">
        <v>371</v>
      </c>
      <c r="C503" s="1" t="s">
        <v>388</v>
      </c>
      <c r="E503" s="233">
        <v>1693.39</v>
      </c>
      <c r="F503" s="110">
        <f t="shared" ref="F503:F513" si="107">E503+E503*$F$487</f>
        <v>1816.1607750000001</v>
      </c>
      <c r="G503" s="110">
        <f t="shared" ref="G503:G522" si="108">+F503*16</f>
        <v>29058.572400000001</v>
      </c>
    </row>
    <row r="504" spans="2:15" hidden="1" outlineLevel="1" x14ac:dyDescent="0.3">
      <c r="B504" s="1" t="s">
        <v>374</v>
      </c>
      <c r="C504" s="1" t="s">
        <v>389</v>
      </c>
      <c r="E504" s="233">
        <v>1660.11</v>
      </c>
      <c r="F504" s="110">
        <f t="shared" si="107"/>
        <v>1780.4679749999998</v>
      </c>
      <c r="G504" s="110">
        <f t="shared" si="108"/>
        <v>28487.487599999997</v>
      </c>
    </row>
    <row r="505" spans="2:15" hidden="1" outlineLevel="1" x14ac:dyDescent="0.3">
      <c r="B505" s="1" t="s">
        <v>376</v>
      </c>
      <c r="C505" s="1" t="s">
        <v>390</v>
      </c>
      <c r="E505" s="233">
        <v>1540.13</v>
      </c>
      <c r="F505" s="110">
        <f t="shared" si="107"/>
        <v>1651.7894250000002</v>
      </c>
      <c r="G505" s="110">
        <f t="shared" si="108"/>
        <v>26428.630800000003</v>
      </c>
    </row>
    <row r="506" spans="2:15" hidden="1" outlineLevel="1" x14ac:dyDescent="0.3">
      <c r="B506" s="1" t="s">
        <v>378</v>
      </c>
      <c r="C506" s="1" t="s">
        <v>391</v>
      </c>
      <c r="E506" s="233">
        <v>1449.29</v>
      </c>
      <c r="F506" s="110">
        <f t="shared" si="107"/>
        <v>1554.363525</v>
      </c>
      <c r="G506" s="110">
        <f t="shared" si="108"/>
        <v>24869.8164</v>
      </c>
    </row>
    <row r="507" spans="2:15" hidden="1" outlineLevel="1" x14ac:dyDescent="0.3">
      <c r="B507" s="1" t="s">
        <v>380</v>
      </c>
      <c r="C507" s="1" t="s">
        <v>392</v>
      </c>
      <c r="E507" s="233">
        <v>1379.23</v>
      </c>
      <c r="F507" s="110">
        <f t="shared" si="107"/>
        <v>1479.2241750000001</v>
      </c>
      <c r="G507" s="110">
        <f t="shared" si="108"/>
        <v>23667.586800000001</v>
      </c>
    </row>
    <row r="508" spans="2:15" hidden="1" outlineLevel="1" x14ac:dyDescent="0.3">
      <c r="B508" s="1" t="s">
        <v>382</v>
      </c>
      <c r="C508" s="1" t="s">
        <v>393</v>
      </c>
      <c r="E508" s="233">
        <v>1365.99</v>
      </c>
      <c r="F508" s="110">
        <f t="shared" si="107"/>
        <v>1465.024275</v>
      </c>
      <c r="G508" s="110">
        <f t="shared" si="108"/>
        <v>23440.3884</v>
      </c>
      <c r="H508" s="71" t="s">
        <v>394</v>
      </c>
      <c r="O508" s="98"/>
    </row>
    <row r="509" spans="2:15" hidden="1" outlineLevel="1" x14ac:dyDescent="0.3">
      <c r="B509" s="1" t="s">
        <v>395</v>
      </c>
      <c r="C509" s="1" t="s">
        <v>396</v>
      </c>
      <c r="E509" s="233">
        <v>1272.8800000000001</v>
      </c>
      <c r="F509" s="110">
        <f t="shared" si="107"/>
        <v>1365.1638</v>
      </c>
      <c r="G509" s="110">
        <f t="shared" si="108"/>
        <v>21842.620800000001</v>
      </c>
      <c r="H509" s="98">
        <f>+G509/K482</f>
        <v>13.118691171171172</v>
      </c>
    </row>
    <row r="510" spans="2:15" hidden="1" outlineLevel="1" x14ac:dyDescent="0.3">
      <c r="B510" s="1" t="s">
        <v>397</v>
      </c>
      <c r="C510" s="1" t="s">
        <v>398</v>
      </c>
      <c r="E510" s="233">
        <v>1270.5899999999999</v>
      </c>
      <c r="F510" s="110">
        <f t="shared" si="107"/>
        <v>1362.7077749999999</v>
      </c>
      <c r="G510" s="110">
        <f t="shared" si="108"/>
        <v>21803.324399999998</v>
      </c>
    </row>
    <row r="511" spans="2:15" hidden="1" outlineLevel="1" x14ac:dyDescent="0.3">
      <c r="B511" s="1" t="s">
        <v>399</v>
      </c>
      <c r="C511" s="1" t="s">
        <v>400</v>
      </c>
      <c r="E511" s="233">
        <v>1200.3499999999999</v>
      </c>
      <c r="F511" s="110">
        <f t="shared" si="107"/>
        <v>1287.3753749999998</v>
      </c>
      <c r="G511" s="110">
        <f t="shared" si="108"/>
        <v>20598.005999999998</v>
      </c>
    </row>
    <row r="512" spans="2:15" hidden="1" outlineLevel="1" x14ac:dyDescent="0.3">
      <c r="B512" s="1" t="s">
        <v>401</v>
      </c>
      <c r="C512" s="1" t="s">
        <v>298</v>
      </c>
      <c r="E512" s="233">
        <v>1183.9000000000001</v>
      </c>
      <c r="F512" s="110">
        <f t="shared" si="107"/>
        <v>1269.7327500000001</v>
      </c>
      <c r="G512" s="110">
        <f t="shared" si="108"/>
        <v>20315.724000000002</v>
      </c>
    </row>
    <row r="513" spans="2:7" hidden="1" outlineLevel="1" x14ac:dyDescent="0.3">
      <c r="B513" s="1" t="s">
        <v>402</v>
      </c>
      <c r="C513" s="1" t="s">
        <v>403</v>
      </c>
      <c r="E513" s="233">
        <v>1173.8800000000001</v>
      </c>
      <c r="F513" s="110">
        <f t="shared" si="107"/>
        <v>1258.9863</v>
      </c>
      <c r="G513" s="110">
        <f t="shared" si="108"/>
        <v>20143.7808</v>
      </c>
    </row>
    <row r="514" spans="2:7" hidden="1" outlineLevel="1" x14ac:dyDescent="0.3">
      <c r="B514" s="232" t="s">
        <v>301</v>
      </c>
      <c r="E514" s="1"/>
      <c r="F514" s="1"/>
    </row>
    <row r="515" spans="2:7" hidden="1" outlineLevel="1" x14ac:dyDescent="0.3">
      <c r="B515" s="1" t="s">
        <v>371</v>
      </c>
      <c r="C515" s="1" t="s">
        <v>404</v>
      </c>
      <c r="E515" s="233">
        <v>2019.25</v>
      </c>
      <c r="F515" s="110">
        <f t="shared" ref="F515:F522" si="109">E515+E515*$F$487</f>
        <v>2165.6456250000001</v>
      </c>
      <c r="G515" s="110">
        <f t="shared" si="108"/>
        <v>34650.33</v>
      </c>
    </row>
    <row r="516" spans="2:7" hidden="1" outlineLevel="1" x14ac:dyDescent="0.3">
      <c r="B516" s="1" t="s">
        <v>374</v>
      </c>
      <c r="C516" s="1" t="s">
        <v>405</v>
      </c>
      <c r="E516" s="233">
        <v>1381.07</v>
      </c>
      <c r="F516" s="110">
        <f t="shared" si="109"/>
        <v>1481.1975749999999</v>
      </c>
      <c r="G516" s="110">
        <f t="shared" si="108"/>
        <v>23699.161199999999</v>
      </c>
    </row>
    <row r="517" spans="2:7" hidden="1" outlineLevel="1" x14ac:dyDescent="0.3">
      <c r="B517" s="1" t="s">
        <v>376</v>
      </c>
      <c r="C517" s="1" t="s">
        <v>406</v>
      </c>
      <c r="E517" s="233">
        <v>1274.24</v>
      </c>
      <c r="F517" s="110">
        <f t="shared" si="109"/>
        <v>1366.6224</v>
      </c>
      <c r="G517" s="110">
        <f t="shared" si="108"/>
        <v>21865.9584</v>
      </c>
    </row>
    <row r="518" spans="2:7" hidden="1" outlineLevel="1" x14ac:dyDescent="0.3">
      <c r="B518" s="1" t="s">
        <v>378</v>
      </c>
      <c r="C518" s="1" t="s">
        <v>407</v>
      </c>
      <c r="E518" s="233">
        <v>1200.33</v>
      </c>
      <c r="F518" s="110">
        <f t="shared" si="109"/>
        <v>1287.3539249999999</v>
      </c>
      <c r="G518" s="110">
        <f t="shared" si="108"/>
        <v>20597.662799999998</v>
      </c>
    </row>
    <row r="519" spans="2:7" hidden="1" outlineLevel="1" x14ac:dyDescent="0.3">
      <c r="B519" s="1" t="s">
        <v>382</v>
      </c>
      <c r="C519" s="1" t="s">
        <v>408</v>
      </c>
      <c r="E519" s="233">
        <v>1183.97</v>
      </c>
      <c r="F519" s="110">
        <f t="shared" si="109"/>
        <v>1269.8078250000001</v>
      </c>
      <c r="G519" s="110">
        <f t="shared" si="108"/>
        <v>20316.925200000001</v>
      </c>
    </row>
    <row r="520" spans="2:7" hidden="1" outlineLevel="1" x14ac:dyDescent="0.3">
      <c r="B520" s="1" t="s">
        <v>395</v>
      </c>
      <c r="C520" s="1" t="s">
        <v>409</v>
      </c>
      <c r="E520" s="233">
        <v>1361.58</v>
      </c>
      <c r="F520" s="110">
        <f t="shared" si="109"/>
        <v>1460.2945499999998</v>
      </c>
      <c r="G520" s="110">
        <f t="shared" si="108"/>
        <v>23364.712799999998</v>
      </c>
    </row>
    <row r="521" spans="2:7" hidden="1" outlineLevel="1" x14ac:dyDescent="0.3">
      <c r="B521" s="1" t="s">
        <v>397</v>
      </c>
      <c r="C521" s="1" t="s">
        <v>410</v>
      </c>
      <c r="E521" s="233">
        <v>1179</v>
      </c>
      <c r="F521" s="110">
        <f t="shared" si="109"/>
        <v>1264.4775</v>
      </c>
      <c r="G521" s="110">
        <f t="shared" si="108"/>
        <v>20231.64</v>
      </c>
    </row>
    <row r="522" spans="2:7" hidden="1" outlineLevel="1" x14ac:dyDescent="0.3">
      <c r="B522" s="1" t="s">
        <v>399</v>
      </c>
      <c r="C522" s="1" t="s">
        <v>411</v>
      </c>
      <c r="E522" s="233">
        <v>1173.97</v>
      </c>
      <c r="F522" s="110">
        <f t="shared" si="109"/>
        <v>1259.082825</v>
      </c>
      <c r="G522" s="110">
        <f t="shared" si="108"/>
        <v>20145.325199999999</v>
      </c>
    </row>
    <row r="523" spans="2:7" hidden="1" outlineLevel="1" x14ac:dyDescent="0.3">
      <c r="B523" s="232" t="s">
        <v>347</v>
      </c>
      <c r="E523" s="1"/>
      <c r="F523" s="110"/>
    </row>
    <row r="524" spans="2:7" hidden="1" outlineLevel="1" x14ac:dyDescent="0.3">
      <c r="B524" s="1" t="s">
        <v>371</v>
      </c>
      <c r="C524" s="1" t="s">
        <v>412</v>
      </c>
      <c r="E524" s="233">
        <v>1173.8800000000001</v>
      </c>
      <c r="F524" s="110">
        <f>E524+E524*$F$487</f>
        <v>1258.9863</v>
      </c>
      <c r="G524" s="110">
        <f t="shared" ref="G524" si="110">+F524*16</f>
        <v>20143.7808</v>
      </c>
    </row>
    <row r="525" spans="2:7" hidden="1" outlineLevel="1" x14ac:dyDescent="0.3">
      <c r="B525" s="1" t="s">
        <v>374</v>
      </c>
      <c r="C525" s="1" t="s">
        <v>413</v>
      </c>
      <c r="E525">
        <v>39.19</v>
      </c>
      <c r="F525" s="110">
        <f>E525+E525*$F$487</f>
        <v>42.031274999999994</v>
      </c>
      <c r="G525" s="110"/>
    </row>
    <row r="526" spans="2:7" hidden="1" outlineLevel="1" x14ac:dyDescent="0.3">
      <c r="C526" s="1" t="s">
        <v>414</v>
      </c>
      <c r="E526">
        <v>10.88</v>
      </c>
      <c r="F526" s="110">
        <f>E526+E526*$F$487</f>
        <v>11.668800000000001</v>
      </c>
      <c r="G526" s="110"/>
    </row>
    <row r="527" spans="2:7" hidden="1" outlineLevel="1" x14ac:dyDescent="0.3"/>
    <row r="528" spans="2:7" hidden="1" outlineLevel="1" x14ac:dyDescent="0.3"/>
    <row r="529" spans="2:12" hidden="1" outlineLevel="1" x14ac:dyDescent="0.3"/>
    <row r="530" spans="2:12" hidden="1" outlineLevel="1" x14ac:dyDescent="0.3"/>
    <row r="531" spans="2:12" collapsed="1" x14ac:dyDescent="0.3"/>
    <row r="532" spans="2:12" ht="20.100000000000001" customHeight="1" x14ac:dyDescent="0.3">
      <c r="B532" s="234" t="s">
        <v>415</v>
      </c>
      <c r="C532" s="235"/>
      <c r="D532" s="236"/>
      <c r="E532" s="236"/>
      <c r="F532" s="236"/>
      <c r="G532" s="235"/>
      <c r="H532" s="235"/>
      <c r="I532" s="235"/>
      <c r="J532" s="235"/>
      <c r="K532" s="235"/>
      <c r="L532" s="235"/>
    </row>
    <row r="533" spans="2:12" hidden="1" outlineLevel="1" x14ac:dyDescent="0.3">
      <c r="D533" s="2" t="s">
        <v>73</v>
      </c>
      <c r="E533" s="2">
        <v>1592</v>
      </c>
    </row>
    <row r="534" spans="2:12" hidden="1" outlineLevel="1" x14ac:dyDescent="0.3">
      <c r="D534" s="129" t="s">
        <v>416</v>
      </c>
      <c r="E534" s="180">
        <v>2018</v>
      </c>
      <c r="F534" s="180">
        <v>2019</v>
      </c>
    </row>
    <row r="535" spans="2:12" hidden="1" outlineLevel="1" x14ac:dyDescent="0.3">
      <c r="B535" s="237" t="s">
        <v>294</v>
      </c>
      <c r="C535" s="238"/>
      <c r="D535" s="143">
        <v>2081.29</v>
      </c>
      <c r="E535" s="95">
        <f>+D535*14</f>
        <v>29138.059999999998</v>
      </c>
      <c r="F535" s="95">
        <f>+E535</f>
        <v>29138.059999999998</v>
      </c>
      <c r="G535" s="95">
        <f>+F535/$E$533</f>
        <v>18.302801507537687</v>
      </c>
    </row>
    <row r="536" spans="2:12" hidden="1" outlineLevel="1" x14ac:dyDescent="0.3">
      <c r="B536" s="237" t="s">
        <v>297</v>
      </c>
      <c r="C536" s="238"/>
      <c r="D536" s="143">
        <v>1887.2</v>
      </c>
      <c r="E536" s="95">
        <f>+D536*14</f>
        <v>26420.799999999999</v>
      </c>
      <c r="F536" s="95">
        <f>+E536</f>
        <v>26420.799999999999</v>
      </c>
      <c r="G536" s="95">
        <f>+F536/$E$533</f>
        <v>16.595979899497486</v>
      </c>
    </row>
    <row r="537" spans="2:12" hidden="1" outlineLevel="1" x14ac:dyDescent="0.3">
      <c r="B537" s="237" t="s">
        <v>299</v>
      </c>
      <c r="C537" s="238"/>
      <c r="D537" s="143">
        <v>1725.42</v>
      </c>
      <c r="E537" s="95">
        <f>+D537*14</f>
        <v>24155.88</v>
      </c>
      <c r="F537" s="95">
        <f>+E537</f>
        <v>24155.88</v>
      </c>
      <c r="G537" s="95">
        <f>+F537/$E$533</f>
        <v>15.173291457286433</v>
      </c>
    </row>
    <row r="538" spans="2:12" hidden="1" outlineLevel="1" x14ac:dyDescent="0.3">
      <c r="B538" s="237" t="s">
        <v>301</v>
      </c>
      <c r="C538" s="238"/>
      <c r="D538" s="143">
        <v>1544.27</v>
      </c>
      <c r="E538" s="95">
        <f>+D538*14</f>
        <v>21619.78</v>
      </c>
      <c r="F538" s="95">
        <f>+E538</f>
        <v>21619.78</v>
      </c>
      <c r="G538" s="95">
        <f>+F538/$E$533</f>
        <v>13.580263819095476</v>
      </c>
    </row>
    <row r="539" spans="2:12" hidden="1" outlineLevel="1" x14ac:dyDescent="0.3">
      <c r="B539" s="237" t="s">
        <v>347</v>
      </c>
      <c r="C539" s="238"/>
      <c r="D539" s="143">
        <v>1380.35</v>
      </c>
      <c r="E539" s="95">
        <f>+D539*14</f>
        <v>19324.899999999998</v>
      </c>
      <c r="F539" s="95">
        <f>+E539</f>
        <v>19324.899999999998</v>
      </c>
      <c r="G539" s="95">
        <f>+F539/$E$533</f>
        <v>12.138756281407034</v>
      </c>
    </row>
    <row r="540" spans="2:12" hidden="1" outlineLevel="1" x14ac:dyDescent="0.3">
      <c r="C540" s="239" t="s">
        <v>417</v>
      </c>
    </row>
    <row r="541" spans="2:12" hidden="1" outlineLevel="1" x14ac:dyDescent="0.3">
      <c r="C541" s="239" t="s">
        <v>418</v>
      </c>
    </row>
    <row r="542" spans="2:12" hidden="1" outlineLevel="1" x14ac:dyDescent="0.3">
      <c r="C542" s="239" t="s">
        <v>419</v>
      </c>
    </row>
    <row r="543" spans="2:12" hidden="1" outlineLevel="1" x14ac:dyDescent="0.3">
      <c r="C543" s="239" t="s">
        <v>420</v>
      </c>
      <c r="D543" s="109">
        <v>188.97</v>
      </c>
    </row>
    <row r="544" spans="2:12" hidden="1" outlineLevel="1" x14ac:dyDescent="0.3">
      <c r="C544" s="239" t="s">
        <v>421</v>
      </c>
      <c r="D544" s="109">
        <v>5</v>
      </c>
    </row>
    <row r="545" spans="2:12" hidden="1" outlineLevel="1" x14ac:dyDescent="0.3">
      <c r="C545" s="239" t="s">
        <v>422</v>
      </c>
    </row>
    <row r="546" spans="2:12" hidden="1" outlineLevel="1" x14ac:dyDescent="0.3">
      <c r="C546" s="239"/>
    </row>
    <row r="547" spans="2:12" hidden="1" outlineLevel="1" x14ac:dyDescent="0.3">
      <c r="B547" s="1" t="s">
        <v>423</v>
      </c>
    </row>
    <row r="548" spans="2:12" ht="141" hidden="1" customHeight="1" outlineLevel="1" x14ac:dyDescent="0.3">
      <c r="B548" s="240" t="s">
        <v>424</v>
      </c>
      <c r="C548" s="240"/>
      <c r="D548" s="240"/>
      <c r="E548" s="240"/>
      <c r="F548" s="240"/>
      <c r="G548" s="240"/>
      <c r="H548" s="240"/>
      <c r="I548" s="240"/>
      <c r="J548" s="240"/>
    </row>
    <row r="549" spans="2:12" hidden="1" outlineLevel="1" x14ac:dyDescent="0.3">
      <c r="B549" s="1" t="s">
        <v>425</v>
      </c>
    </row>
    <row r="550" spans="2:12" ht="124.5" hidden="1" customHeight="1" outlineLevel="1" x14ac:dyDescent="0.3">
      <c r="B550" s="240" t="s">
        <v>426</v>
      </c>
      <c r="C550" s="240"/>
      <c r="D550" s="240"/>
      <c r="E550" s="240"/>
      <c r="F550" s="240"/>
      <c r="G550" s="240"/>
      <c r="H550" s="240"/>
      <c r="I550" s="240"/>
      <c r="J550" s="240"/>
    </row>
    <row r="551" spans="2:12" hidden="1" outlineLevel="1" x14ac:dyDescent="0.3">
      <c r="B551" s="1" t="s">
        <v>427</v>
      </c>
    </row>
    <row r="552" spans="2:12" ht="108" hidden="1" customHeight="1" outlineLevel="1" x14ac:dyDescent="0.3">
      <c r="B552" s="240" t="s">
        <v>428</v>
      </c>
      <c r="C552" s="240"/>
      <c r="D552" s="240"/>
      <c r="E552" s="240"/>
      <c r="F552" s="240"/>
      <c r="G552" s="240"/>
      <c r="H552" s="240"/>
      <c r="I552" s="240"/>
      <c r="J552" s="240"/>
    </row>
    <row r="553" spans="2:12" hidden="1" outlineLevel="1" x14ac:dyDescent="0.3">
      <c r="B553" s="1" t="s">
        <v>429</v>
      </c>
    </row>
    <row r="554" spans="2:12" ht="109.5" hidden="1" customHeight="1" outlineLevel="1" x14ac:dyDescent="0.3">
      <c r="B554" s="240" t="s">
        <v>430</v>
      </c>
      <c r="C554" s="240"/>
      <c r="D554" s="240"/>
      <c r="E554" s="240"/>
      <c r="F554" s="240"/>
      <c r="G554" s="240"/>
      <c r="H554" s="240"/>
      <c r="I554" s="240"/>
      <c r="J554" s="240"/>
    </row>
    <row r="555" spans="2:12" hidden="1" outlineLevel="1" x14ac:dyDescent="0.3">
      <c r="B555" s="1" t="s">
        <v>431</v>
      </c>
    </row>
    <row r="556" spans="2:12" ht="80.25" hidden="1" customHeight="1" outlineLevel="1" x14ac:dyDescent="0.3">
      <c r="B556" s="240" t="s">
        <v>432</v>
      </c>
      <c r="C556" s="240"/>
      <c r="D556" s="240"/>
      <c r="E556" s="240"/>
      <c r="F556" s="240"/>
      <c r="G556" s="240"/>
      <c r="H556" s="240"/>
      <c r="I556" s="240"/>
      <c r="J556" s="240"/>
    </row>
    <row r="557" spans="2:12" hidden="1" outlineLevel="1" x14ac:dyDescent="0.3"/>
    <row r="558" spans="2:12" collapsed="1" x14ac:dyDescent="0.3"/>
    <row r="559" spans="2:12" ht="20.100000000000001" customHeight="1" x14ac:dyDescent="0.3">
      <c r="B559" s="234" t="s">
        <v>433</v>
      </c>
      <c r="C559" s="235"/>
      <c r="D559" s="236"/>
      <c r="E559" s="236"/>
      <c r="F559" s="236"/>
      <c r="G559" s="235"/>
      <c r="H559" s="235"/>
      <c r="I559" s="235"/>
      <c r="J559" s="235"/>
      <c r="K559" s="235"/>
      <c r="L559" s="235"/>
    </row>
    <row r="560" spans="2:12" hidden="1" outlineLevel="1" x14ac:dyDescent="0.3">
      <c r="D560" s="1"/>
      <c r="E560" s="1"/>
    </row>
    <row r="561" spans="2:24" hidden="1" outlineLevel="1" x14ac:dyDescent="0.3">
      <c r="D561" s="1" t="s">
        <v>434</v>
      </c>
      <c r="E561" s="1"/>
      <c r="J561" s="241" t="s">
        <v>435</v>
      </c>
      <c r="K561" s="242"/>
      <c r="L561" s="242"/>
    </row>
    <row r="562" spans="2:24" hidden="1" outlineLevel="1" x14ac:dyDescent="0.3">
      <c r="D562" s="1"/>
      <c r="E562" s="30">
        <f>+(E566-D566)/D566</f>
        <v>3.0999846400151167E-2</v>
      </c>
      <c r="F562" s="30">
        <f>+(F566-E566)/E566</f>
        <v>3.7499991046788077E-2</v>
      </c>
      <c r="G562" s="30">
        <f>+(G566-F566)/F566</f>
        <v>3.7500107870024425E-2</v>
      </c>
      <c r="P562" s="108" t="s">
        <v>436</v>
      </c>
    </row>
    <row r="563" spans="2:24" hidden="1" outlineLevel="1" x14ac:dyDescent="0.3">
      <c r="C563" s="71" t="s">
        <v>437</v>
      </c>
      <c r="D563" s="2">
        <v>1635</v>
      </c>
      <c r="E563" s="2">
        <v>1628</v>
      </c>
      <c r="F563" s="2">
        <v>1621</v>
      </c>
      <c r="G563" s="2">
        <v>1613</v>
      </c>
      <c r="H563" s="2">
        <v>1605</v>
      </c>
      <c r="J563" s="71" t="s">
        <v>73</v>
      </c>
      <c r="K563" s="2">
        <v>1605</v>
      </c>
      <c r="L563" s="2">
        <v>1605</v>
      </c>
      <c r="M563" s="2">
        <v>1592</v>
      </c>
      <c r="N563" s="2">
        <v>1592</v>
      </c>
      <c r="O563" s="2">
        <v>1592</v>
      </c>
      <c r="P563" s="243" t="s">
        <v>438</v>
      </c>
    </row>
    <row r="564" spans="2:24" hidden="1" outlineLevel="1" x14ac:dyDescent="0.3">
      <c r="C564" s="71" t="s">
        <v>439</v>
      </c>
      <c r="D564" s="2">
        <v>1600</v>
      </c>
      <c r="E564" s="2">
        <v>1600</v>
      </c>
      <c r="F564" s="2">
        <v>1593</v>
      </c>
      <c r="G564" s="2">
        <v>1585</v>
      </c>
      <c r="H564" s="2">
        <v>1577</v>
      </c>
      <c r="K564" s="10">
        <v>3.1E-2</v>
      </c>
      <c r="L564" s="66">
        <v>0.04</v>
      </c>
      <c r="M564" s="244">
        <v>0.06</v>
      </c>
      <c r="N564" s="245">
        <v>6.5000000000000002E-2</v>
      </c>
      <c r="O564" s="245">
        <v>4.3999999999999997E-2</v>
      </c>
      <c r="P564" s="243"/>
      <c r="R564" s="121" t="s">
        <v>105</v>
      </c>
    </row>
    <row r="565" spans="2:24" ht="28.8" hidden="1" outlineLevel="1" x14ac:dyDescent="0.3">
      <c r="D565" s="180" t="s">
        <v>440</v>
      </c>
      <c r="E565" s="180">
        <v>2019</v>
      </c>
      <c r="F565" s="180">
        <v>2020</v>
      </c>
      <c r="G565" s="180">
        <v>2021</v>
      </c>
      <c r="H565" s="180">
        <v>2022</v>
      </c>
      <c r="J565" s="77">
        <v>2022</v>
      </c>
      <c r="K565" s="77">
        <v>2023</v>
      </c>
      <c r="L565" s="246">
        <v>2024</v>
      </c>
      <c r="M565" s="180">
        <v>2025</v>
      </c>
      <c r="N565" s="180" t="s">
        <v>441</v>
      </c>
      <c r="O565" s="180" t="s">
        <v>442</v>
      </c>
      <c r="P565" s="243"/>
      <c r="R565" s="247">
        <f>L565</f>
        <v>2024</v>
      </c>
      <c r="S565" s="247">
        <f t="shared" ref="S565:U565" si="111">M565</f>
        <v>2025</v>
      </c>
      <c r="T565" s="247" t="str">
        <f t="shared" si="111"/>
        <v>2026 ene-sep</v>
      </c>
      <c r="U565" s="247" t="str">
        <f t="shared" si="111"/>
        <v>2026 oct-dic</v>
      </c>
      <c r="V565" s="248"/>
    </row>
    <row r="566" spans="2:24" ht="18" hidden="1" customHeight="1" outlineLevel="1" x14ac:dyDescent="0.3">
      <c r="B566" s="237" t="s">
        <v>294</v>
      </c>
      <c r="C566" s="238" t="s">
        <v>443</v>
      </c>
      <c r="D566" s="143">
        <v>27083.360000000001</v>
      </c>
      <c r="E566" s="143">
        <v>27922.94</v>
      </c>
      <c r="F566" s="143">
        <v>28970.05</v>
      </c>
      <c r="G566" s="143">
        <v>30056.43</v>
      </c>
      <c r="H566" s="143">
        <f>+G566/$H$563</f>
        <v>18.726747663551404</v>
      </c>
      <c r="J566" s="24">
        <v>30056.43</v>
      </c>
      <c r="K566" s="142">
        <f>J566*(1+K$564)</f>
        <v>30988.179329999999</v>
      </c>
      <c r="L566" s="142">
        <f t="shared" ref="L566:O566" si="112">K566*(1+L$564)</f>
        <v>32227.706503199999</v>
      </c>
      <c r="M566" s="142">
        <f t="shared" si="112"/>
        <v>34161.368893391998</v>
      </c>
      <c r="N566" s="142">
        <f t="shared" si="112"/>
        <v>36381.857871462475</v>
      </c>
      <c r="O566" s="142">
        <f t="shared" si="112"/>
        <v>37982.659617806828</v>
      </c>
      <c r="P566" s="140">
        <v>50.92</v>
      </c>
      <c r="R566" s="249">
        <f>+L566/L$563</f>
        <v>20.079567914766354</v>
      </c>
      <c r="S566" s="249">
        <f>+M566/M$563</f>
        <v>21.458146289819094</v>
      </c>
      <c r="T566" s="250">
        <f>N566/N$563</f>
        <v>22.852925798657335</v>
      </c>
      <c r="U566" s="250">
        <f t="shared" ref="U566:U570" si="113">O566/O$563</f>
        <v>23.858454533798259</v>
      </c>
    </row>
    <row r="567" spans="2:24" ht="18" hidden="1" customHeight="1" outlineLevel="1" x14ac:dyDescent="0.3">
      <c r="B567" s="237" t="s">
        <v>297</v>
      </c>
      <c r="C567" s="238"/>
      <c r="D567" s="143">
        <v>24557.49</v>
      </c>
      <c r="E567" s="143">
        <v>25318.77</v>
      </c>
      <c r="F567" s="143">
        <v>26268.23</v>
      </c>
      <c r="G567" s="143">
        <v>27253.279999999999</v>
      </c>
      <c r="H567" s="143">
        <f>+G567/$H$563</f>
        <v>16.980236760124608</v>
      </c>
      <c r="J567" s="24">
        <v>27253.279999999999</v>
      </c>
      <c r="K567" s="142">
        <f t="shared" ref="K567:O570" si="114">J567*(1+K$564)</f>
        <v>28098.131679999995</v>
      </c>
      <c r="L567" s="142">
        <f t="shared" si="114"/>
        <v>29222.056947199995</v>
      </c>
      <c r="M567" s="142">
        <f t="shared" si="114"/>
        <v>30975.380364031997</v>
      </c>
      <c r="N567" s="142">
        <f t="shared" si="114"/>
        <v>32988.780087694075</v>
      </c>
      <c r="O567" s="142">
        <f t="shared" si="114"/>
        <v>34440.286411552617</v>
      </c>
      <c r="P567" s="143">
        <v>46.17</v>
      </c>
      <c r="R567" s="249">
        <f t="shared" ref="R567:S570" si="115">+L567/L$563</f>
        <v>18.206889063676009</v>
      </c>
      <c r="S567" s="249">
        <f t="shared" si="115"/>
        <v>19.456897213587936</v>
      </c>
      <c r="T567" s="250">
        <f t="shared" ref="T567:T570" si="116">N567/N$563</f>
        <v>20.721595532471152</v>
      </c>
      <c r="U567" s="250">
        <f t="shared" si="113"/>
        <v>21.633345735899884</v>
      </c>
    </row>
    <row r="568" spans="2:24" ht="18" hidden="1" customHeight="1" outlineLevel="1" x14ac:dyDescent="0.3">
      <c r="B568" s="237" t="s">
        <v>299</v>
      </c>
      <c r="C568" s="238"/>
      <c r="D568" s="143">
        <v>22452.59</v>
      </c>
      <c r="E568" s="143">
        <v>23148.62</v>
      </c>
      <c r="F568" s="143">
        <v>24016.69</v>
      </c>
      <c r="G568" s="143">
        <v>24917.32</v>
      </c>
      <c r="H568" s="143">
        <f>+G568/$H$563</f>
        <v>15.524809968847352</v>
      </c>
      <c r="J568" s="24">
        <v>24917.32</v>
      </c>
      <c r="K568" s="142">
        <f t="shared" si="114"/>
        <v>25689.756919999996</v>
      </c>
      <c r="L568" s="142">
        <f t="shared" si="114"/>
        <v>26717.347196799998</v>
      </c>
      <c r="M568" s="142">
        <f t="shared" si="114"/>
        <v>28320.388028607998</v>
      </c>
      <c r="N568" s="142">
        <f t="shared" si="114"/>
        <v>30161.213250467517</v>
      </c>
      <c r="O568" s="142">
        <f t="shared" si="114"/>
        <v>31488.30663348809</v>
      </c>
      <c r="P568" s="143">
        <v>42.21</v>
      </c>
      <c r="R568" s="249">
        <f t="shared" si="115"/>
        <v>16.646322240996884</v>
      </c>
      <c r="S568" s="249">
        <f t="shared" si="115"/>
        <v>17.789188460180902</v>
      </c>
      <c r="T568" s="250">
        <f t="shared" si="116"/>
        <v>18.945485710092662</v>
      </c>
      <c r="U568" s="250">
        <f t="shared" si="113"/>
        <v>19.779087081336741</v>
      </c>
    </row>
    <row r="569" spans="2:24" ht="18" hidden="1" customHeight="1" outlineLevel="1" x14ac:dyDescent="0.3">
      <c r="B569" s="237" t="s">
        <v>301</v>
      </c>
      <c r="C569" s="238"/>
      <c r="D569" s="143">
        <v>20095.11</v>
      </c>
      <c r="E569" s="143">
        <v>20718.060000000001</v>
      </c>
      <c r="F569" s="143">
        <v>21494.99</v>
      </c>
      <c r="G569" s="143">
        <v>22301.05</v>
      </c>
      <c r="H569" s="143">
        <f>+G569/$H$563</f>
        <v>13.894735202492212</v>
      </c>
      <c r="J569" s="24">
        <v>22301.05</v>
      </c>
      <c r="K569" s="142">
        <f t="shared" si="114"/>
        <v>22992.382549999998</v>
      </c>
      <c r="L569" s="142">
        <f t="shared" si="114"/>
        <v>23912.077851999999</v>
      </c>
      <c r="M569" s="142">
        <f t="shared" si="114"/>
        <v>25346.802523120001</v>
      </c>
      <c r="N569" s="142">
        <f t="shared" si="114"/>
        <v>26994.344687122801</v>
      </c>
      <c r="O569" s="142">
        <f t="shared" si="114"/>
        <v>28182.095853356204</v>
      </c>
      <c r="P569" s="143">
        <v>37.78</v>
      </c>
      <c r="R569" s="249">
        <f t="shared" si="115"/>
        <v>14.898490873520249</v>
      </c>
      <c r="S569" s="249">
        <f t="shared" si="115"/>
        <v>15.921358368793971</v>
      </c>
      <c r="T569" s="250">
        <f t="shared" si="116"/>
        <v>16.956246662765579</v>
      </c>
      <c r="U569" s="250">
        <f t="shared" si="113"/>
        <v>17.702321515927263</v>
      </c>
    </row>
    <row r="570" spans="2:24" ht="18" hidden="1" customHeight="1" outlineLevel="1" x14ac:dyDescent="0.3">
      <c r="B570" s="237" t="s">
        <v>347</v>
      </c>
      <c r="C570" s="238"/>
      <c r="D570" s="143">
        <v>17962.14</v>
      </c>
      <c r="E570" s="143">
        <v>18518.97</v>
      </c>
      <c r="F570" s="143">
        <v>19213.43</v>
      </c>
      <c r="G570" s="143">
        <v>19933.93</v>
      </c>
      <c r="H570" s="143">
        <f>+G570/$H$563</f>
        <v>12.419894080996885</v>
      </c>
      <c r="J570" s="24">
        <v>19933.93</v>
      </c>
      <c r="K570" s="142">
        <f t="shared" si="114"/>
        <v>20551.881829999998</v>
      </c>
      <c r="L570" s="142">
        <f t="shared" si="114"/>
        <v>21373.957103199999</v>
      </c>
      <c r="M570" s="142">
        <f t="shared" si="114"/>
        <v>22656.394529392001</v>
      </c>
      <c r="N570" s="142">
        <f t="shared" si="114"/>
        <v>24129.060173802478</v>
      </c>
      <c r="O570" s="142">
        <f t="shared" si="114"/>
        <v>25190.738821449788</v>
      </c>
      <c r="P570" s="143">
        <v>33.770000000000003</v>
      </c>
      <c r="R570" s="249">
        <f t="shared" si="115"/>
        <v>13.3171072294081</v>
      </c>
      <c r="S570" s="249">
        <f t="shared" si="115"/>
        <v>14.231403598864322</v>
      </c>
      <c r="T570" s="250">
        <f t="shared" si="116"/>
        <v>15.156444832790502</v>
      </c>
      <c r="U570" s="250">
        <f t="shared" si="113"/>
        <v>15.823328405433283</v>
      </c>
    </row>
    <row r="571" spans="2:24" hidden="1" outlineLevel="1" x14ac:dyDescent="0.3">
      <c r="F571" s="6"/>
    </row>
    <row r="572" spans="2:24" hidden="1" outlineLevel="1" x14ac:dyDescent="0.3">
      <c r="C572" s="71" t="s">
        <v>444</v>
      </c>
      <c r="D572" s="196">
        <v>2022</v>
      </c>
      <c r="E572" s="196">
        <v>2023</v>
      </c>
      <c r="F572" s="196">
        <v>2024</v>
      </c>
      <c r="G572" s="196">
        <v>2025</v>
      </c>
      <c r="H572" s="196" t="s">
        <v>441</v>
      </c>
      <c r="I572" s="196" t="s">
        <v>442</v>
      </c>
    </row>
    <row r="573" spans="2:24" hidden="1" outlineLevel="1" x14ac:dyDescent="0.3">
      <c r="C573" s="71" t="s">
        <v>294</v>
      </c>
      <c r="D573" s="251">
        <v>239.79</v>
      </c>
      <c r="E573" s="143">
        <f>+D573*(1+K$564)</f>
        <v>247.22348999999997</v>
      </c>
      <c r="F573" s="143">
        <f t="shared" ref="F573:G577" si="117">+E573*(1+L$564)</f>
        <v>257.11242959999998</v>
      </c>
      <c r="G573" s="143">
        <f t="shared" si="117"/>
        <v>272.539175376</v>
      </c>
      <c r="H573" s="143">
        <v>290.25</v>
      </c>
      <c r="I573" s="143">
        <v>303.02999999999997</v>
      </c>
      <c r="M573" s="215" t="s">
        <v>445</v>
      </c>
    </row>
    <row r="574" spans="2:24" hidden="1" outlineLevel="1" x14ac:dyDescent="0.3">
      <c r="C574" s="71" t="s">
        <v>297</v>
      </c>
      <c r="D574" s="251">
        <v>217.24</v>
      </c>
      <c r="E574" s="143">
        <f t="shared" ref="E574:E577" si="118">+D574*(1+K$564)</f>
        <v>223.97443999999999</v>
      </c>
      <c r="F574" s="143">
        <f t="shared" si="117"/>
        <v>232.93341759999998</v>
      </c>
      <c r="G574" s="143">
        <f t="shared" si="117"/>
        <v>246.909422656</v>
      </c>
      <c r="H574" s="143">
        <v>262.95999999999998</v>
      </c>
      <c r="I574" s="143">
        <v>274.52999999999997</v>
      </c>
      <c r="M574" s="252" t="s">
        <v>446</v>
      </c>
      <c r="N574" s="253"/>
      <c r="O574" s="253"/>
      <c r="P574" s="253"/>
      <c r="Q574" s="253"/>
      <c r="R574" s="253"/>
      <c r="S574" s="253"/>
      <c r="T574" s="254"/>
    </row>
    <row r="575" spans="2:24" hidden="1" outlineLevel="1" x14ac:dyDescent="0.3">
      <c r="C575" s="71" t="s">
        <v>299</v>
      </c>
      <c r="D575" s="251">
        <v>195.88</v>
      </c>
      <c r="E575" s="143">
        <f t="shared" si="118"/>
        <v>201.95227999999997</v>
      </c>
      <c r="F575" s="143">
        <f t="shared" si="117"/>
        <v>210.03037119999999</v>
      </c>
      <c r="G575" s="143">
        <f t="shared" si="117"/>
        <v>222.63219347200001</v>
      </c>
      <c r="H575" s="143">
        <v>237.1</v>
      </c>
      <c r="I575" s="143">
        <v>247.54</v>
      </c>
      <c r="M575" s="255"/>
      <c r="N575" s="1" t="s">
        <v>447</v>
      </c>
      <c r="T575" s="256"/>
    </row>
    <row r="576" spans="2:24" ht="14.4" hidden="1" customHeight="1" outlineLevel="1" x14ac:dyDescent="0.3">
      <c r="C576" s="71" t="s">
        <v>301</v>
      </c>
      <c r="D576" s="251">
        <v>178.06</v>
      </c>
      <c r="E576" s="143">
        <f t="shared" si="118"/>
        <v>183.57986</v>
      </c>
      <c r="F576" s="143">
        <f t="shared" si="117"/>
        <v>190.92305440000001</v>
      </c>
      <c r="G576" s="143">
        <f t="shared" si="117"/>
        <v>202.37843766400002</v>
      </c>
      <c r="H576" s="143">
        <v>215.53</v>
      </c>
      <c r="I576" s="143">
        <v>225.02</v>
      </c>
      <c r="M576" s="257">
        <v>2022</v>
      </c>
      <c r="N576" s="258">
        <v>44927</v>
      </c>
      <c r="O576" s="258">
        <v>45292</v>
      </c>
      <c r="P576" s="258">
        <v>45658</v>
      </c>
      <c r="Q576" s="258">
        <v>46023</v>
      </c>
      <c r="R576" s="258">
        <v>46296</v>
      </c>
      <c r="S576" s="259">
        <v>46388</v>
      </c>
      <c r="T576" s="260" t="s">
        <v>448</v>
      </c>
      <c r="U576" s="261"/>
      <c r="V576" s="261"/>
      <c r="W576" s="261"/>
      <c r="X576" s="261"/>
    </row>
    <row r="577" spans="3:24" hidden="1" outlineLevel="1" x14ac:dyDescent="0.3">
      <c r="C577" s="71" t="s">
        <v>347</v>
      </c>
      <c r="D577" s="251">
        <v>160.26</v>
      </c>
      <c r="E577" s="143">
        <f t="shared" si="118"/>
        <v>165.22805999999997</v>
      </c>
      <c r="F577" s="143">
        <f t="shared" si="117"/>
        <v>171.83718239999999</v>
      </c>
      <c r="G577" s="143">
        <f t="shared" si="117"/>
        <v>182.147413344</v>
      </c>
      <c r="H577" s="143">
        <v>193.99</v>
      </c>
      <c r="I577" s="143">
        <v>202.52</v>
      </c>
      <c r="M577" s="255"/>
      <c r="N577" s="262">
        <v>3.1E-2</v>
      </c>
      <c r="O577" s="262">
        <v>0.04</v>
      </c>
      <c r="P577" s="262">
        <v>0.06</v>
      </c>
      <c r="Q577" s="262">
        <v>6.5000000000000002E-2</v>
      </c>
      <c r="R577" s="262">
        <v>4.3999999999999997E-2</v>
      </c>
      <c r="S577" s="262">
        <v>0</v>
      </c>
      <c r="T577" s="260"/>
      <c r="U577" s="261"/>
      <c r="V577" s="261"/>
      <c r="W577" s="261"/>
      <c r="X577" s="261"/>
    </row>
    <row r="578" spans="3:24" hidden="1" outlineLevel="1" x14ac:dyDescent="0.3">
      <c r="F578" s="1"/>
      <c r="M578" s="263">
        <v>1</v>
      </c>
      <c r="N578" s="264">
        <f>+M578+M578*N577</f>
        <v>1.0309999999999999</v>
      </c>
      <c r="O578" s="264">
        <f>+N578+N578*O577</f>
        <v>1.0722399999999999</v>
      </c>
      <c r="P578" s="264">
        <f t="shared" ref="P578:S578" si="119">+O578+O578*P577</f>
        <v>1.1365743999999998</v>
      </c>
      <c r="Q578" s="264">
        <f t="shared" si="119"/>
        <v>1.2104517359999998</v>
      </c>
      <c r="R578" s="264">
        <f t="shared" si="119"/>
        <v>1.2637116123839998</v>
      </c>
      <c r="S578" s="264">
        <f t="shared" si="119"/>
        <v>1.2637116123839998</v>
      </c>
      <c r="T578" s="265">
        <f>+S578/M578-1</f>
        <v>0.26371161238399976</v>
      </c>
    </row>
    <row r="579" spans="3:24" hidden="1" outlineLevel="1" x14ac:dyDescent="0.3">
      <c r="C579" s="71"/>
      <c r="F579" s="1"/>
      <c r="M579" s="255"/>
      <c r="T579" s="256"/>
    </row>
    <row r="580" spans="3:24" hidden="1" outlineLevel="1" x14ac:dyDescent="0.3">
      <c r="C580" s="71" t="s">
        <v>449</v>
      </c>
      <c r="D580" s="251">
        <v>2.77</v>
      </c>
      <c r="E580" s="143">
        <f t="shared" ref="E580:G581" si="120">+D580*(1+K$564)</f>
        <v>2.8558699999999999</v>
      </c>
      <c r="F580" s="143">
        <f t="shared" si="120"/>
        <v>2.9701048000000001</v>
      </c>
      <c r="G580" s="143">
        <f t="shared" si="120"/>
        <v>3.1483110880000003</v>
      </c>
      <c r="H580" s="143">
        <v>3.35</v>
      </c>
      <c r="I580" s="143">
        <v>3.5</v>
      </c>
      <c r="M580" s="255">
        <v>2022</v>
      </c>
      <c r="N580" s="1" t="s">
        <v>450</v>
      </c>
      <c r="Q580" s="1">
        <v>2024</v>
      </c>
      <c r="T580" s="256"/>
    </row>
    <row r="581" spans="3:24" hidden="1" outlineLevel="1" x14ac:dyDescent="0.3">
      <c r="C581" s="266" t="s">
        <v>451</v>
      </c>
      <c r="D581" s="251">
        <v>4.99</v>
      </c>
      <c r="E581" s="143">
        <f t="shared" si="120"/>
        <v>5.1446899999999998</v>
      </c>
      <c r="F581" s="143">
        <f t="shared" si="120"/>
        <v>5.3504775999999996</v>
      </c>
      <c r="G581" s="143">
        <f t="shared" si="120"/>
        <v>5.6715062559999998</v>
      </c>
      <c r="H581" s="143">
        <v>6.04</v>
      </c>
      <c r="I581" s="143">
        <v>6.31</v>
      </c>
      <c r="M581" s="255">
        <v>1605</v>
      </c>
      <c r="N581" s="1">
        <v>1592</v>
      </c>
      <c r="Q581" s="29">
        <f>+O578/M578-1</f>
        <v>7.223999999999986E-2</v>
      </c>
      <c r="T581" s="256"/>
    </row>
    <row r="582" spans="3:24" hidden="1" outlineLevel="1" x14ac:dyDescent="0.3">
      <c r="F582" s="1"/>
      <c r="M582" s="267"/>
      <c r="N582" s="268" t="s">
        <v>452</v>
      </c>
      <c r="O582" s="268"/>
      <c r="P582" s="268"/>
      <c r="Q582" s="268"/>
      <c r="R582" s="268"/>
      <c r="S582" s="268"/>
      <c r="T582" s="269"/>
    </row>
    <row r="583" spans="3:24" hidden="1" outlineLevel="1" x14ac:dyDescent="0.3"/>
    <row r="584" spans="3:24" hidden="1" outlineLevel="1" x14ac:dyDescent="0.3">
      <c r="C584" s="270"/>
    </row>
    <row r="585" spans="3:24" hidden="1" outlineLevel="1" x14ac:dyDescent="0.3">
      <c r="D585" s="1" t="s">
        <v>453</v>
      </c>
      <c r="J585" s="271" t="s">
        <v>454</v>
      </c>
      <c r="K585" s="272"/>
      <c r="L585" s="273" t="s">
        <v>454</v>
      </c>
      <c r="N585" s="271" t="s">
        <v>454</v>
      </c>
      <c r="O585" s="272"/>
    </row>
    <row r="586" spans="3:24" ht="26.4" hidden="1" customHeight="1" outlineLevel="1" x14ac:dyDescent="0.3">
      <c r="C586" s="274" t="s">
        <v>455</v>
      </c>
      <c r="D586" s="275">
        <v>2022</v>
      </c>
      <c r="F586" s="276">
        <v>2023</v>
      </c>
      <c r="G586" s="272"/>
      <c r="H586" s="275">
        <v>2024</v>
      </c>
      <c r="J586" s="277">
        <v>2025</v>
      </c>
      <c r="K586" s="272"/>
      <c r="L586" s="247" t="s">
        <v>441</v>
      </c>
      <c r="N586" s="277" t="s">
        <v>442</v>
      </c>
      <c r="O586" s="272"/>
    </row>
    <row r="587" spans="3:24" hidden="1" outlineLevel="1" x14ac:dyDescent="0.3">
      <c r="C587" s="278" t="s">
        <v>456</v>
      </c>
      <c r="D587" s="142">
        <v>1997.59</v>
      </c>
      <c r="E587" s="279">
        <f>D587*2</f>
        <v>3995.18</v>
      </c>
      <c r="F587" s="280">
        <v>2059.52</v>
      </c>
      <c r="G587" s="281">
        <v>4119.04</v>
      </c>
      <c r="H587" s="282">
        <v>2141.9</v>
      </c>
      <c r="I587" s="283">
        <v>4283.8</v>
      </c>
      <c r="J587" s="280">
        <v>2270.41</v>
      </c>
      <c r="K587" s="284">
        <v>4540.83</v>
      </c>
      <c r="L587" s="282">
        <v>2417.9899999999998</v>
      </c>
      <c r="M587" s="282">
        <v>4835.9799999999996</v>
      </c>
      <c r="N587" s="280">
        <v>2524.38</v>
      </c>
      <c r="O587" s="280">
        <v>5048.7700000000004</v>
      </c>
      <c r="R587" s="6"/>
    </row>
    <row r="588" spans="3:24" hidden="1" outlineLevel="1" x14ac:dyDescent="0.3">
      <c r="C588" s="285" t="s">
        <v>457</v>
      </c>
      <c r="D588" s="142">
        <v>3995.19</v>
      </c>
      <c r="E588" s="142">
        <v>6325.72</v>
      </c>
      <c r="F588" s="280">
        <v>4119.04</v>
      </c>
      <c r="G588" s="280">
        <v>6521.82</v>
      </c>
      <c r="H588" s="282">
        <v>4283.8</v>
      </c>
      <c r="I588" s="282">
        <v>6782.69</v>
      </c>
      <c r="J588" s="280">
        <v>4540.83</v>
      </c>
      <c r="K588" s="280">
        <v>7189.65</v>
      </c>
      <c r="L588" s="282">
        <v>4835.9799999999996</v>
      </c>
      <c r="M588" s="282">
        <v>7656.98</v>
      </c>
      <c r="N588" s="280">
        <v>5048.7700000000004</v>
      </c>
      <c r="O588" s="280">
        <v>7993.89</v>
      </c>
      <c r="R588" s="6"/>
    </row>
    <row r="589" spans="3:24" hidden="1" outlineLevel="1" x14ac:dyDescent="0.3">
      <c r="C589" s="285" t="s">
        <v>458</v>
      </c>
      <c r="D589" s="142">
        <f>E588</f>
        <v>6325.72</v>
      </c>
      <c r="E589" s="142">
        <v>7990.38</v>
      </c>
      <c r="F589" s="280">
        <v>6521.82</v>
      </c>
      <c r="G589" s="280">
        <v>8238.08</v>
      </c>
      <c r="H589" s="282">
        <v>6782.69</v>
      </c>
      <c r="I589" s="282">
        <v>8567.61</v>
      </c>
      <c r="J589" s="280">
        <v>7189.65</v>
      </c>
      <c r="K589" s="280">
        <v>9081.66</v>
      </c>
      <c r="L589" s="282">
        <v>7656.98</v>
      </c>
      <c r="M589" s="282">
        <v>9671.9699999999993</v>
      </c>
      <c r="N589" s="280">
        <v>7993.89</v>
      </c>
      <c r="O589" s="280">
        <v>10097.540000000001</v>
      </c>
      <c r="R589" s="6"/>
    </row>
    <row r="590" spans="3:24" hidden="1" outlineLevel="1" x14ac:dyDescent="0.3">
      <c r="C590" s="285" t="s">
        <v>459</v>
      </c>
      <c r="D590" s="142">
        <f>E589</f>
        <v>7990.38</v>
      </c>
      <c r="E590" s="142">
        <v>10320.91</v>
      </c>
      <c r="F590" s="280">
        <v>8238.08</v>
      </c>
      <c r="G590" s="280">
        <v>10640.86</v>
      </c>
      <c r="H590" s="282">
        <v>8567.61</v>
      </c>
      <c r="I590" s="282">
        <v>11066.49</v>
      </c>
      <c r="J590" s="280">
        <v>9081.66</v>
      </c>
      <c r="K590" s="280">
        <v>11730.48</v>
      </c>
      <c r="L590" s="282">
        <v>9671.9699999999993</v>
      </c>
      <c r="M590" s="282">
        <v>12492.96</v>
      </c>
      <c r="N590" s="280">
        <v>10097.540000000001</v>
      </c>
      <c r="O590" s="280">
        <v>13042.65</v>
      </c>
      <c r="R590" s="6"/>
    </row>
    <row r="591" spans="3:24" hidden="1" outlineLevel="1" x14ac:dyDescent="0.3">
      <c r="C591" s="285" t="s">
        <v>460</v>
      </c>
      <c r="D591" s="142">
        <f>E590</f>
        <v>10320.91</v>
      </c>
      <c r="E591" s="142">
        <v>13095.34</v>
      </c>
      <c r="F591" s="280">
        <v>10640.86</v>
      </c>
      <c r="G591" s="280">
        <v>13501.3</v>
      </c>
      <c r="H591" s="282">
        <v>11066.49</v>
      </c>
      <c r="I591" s="282">
        <v>14041.35</v>
      </c>
      <c r="J591" s="280">
        <v>11730.48</v>
      </c>
      <c r="K591" s="280">
        <v>14883.83</v>
      </c>
      <c r="L591" s="282">
        <v>12492.96</v>
      </c>
      <c r="M591" s="282">
        <v>15851.28</v>
      </c>
      <c r="N591" s="280">
        <v>13042.65</v>
      </c>
      <c r="O591" s="280">
        <v>16548.73</v>
      </c>
      <c r="R591" s="6"/>
    </row>
    <row r="592" spans="3:24" hidden="1" outlineLevel="1" x14ac:dyDescent="0.3">
      <c r="C592" s="1" t="s">
        <v>461</v>
      </c>
      <c r="D592" s="5"/>
      <c r="E592" s="5"/>
      <c r="F592" s="5"/>
      <c r="G592" s="6"/>
      <c r="H592" s="6"/>
      <c r="I592" s="6"/>
      <c r="J592" s="6"/>
      <c r="K592" s="6"/>
      <c r="L592" s="6"/>
      <c r="M592" s="6"/>
      <c r="N592" s="6"/>
      <c r="O592" s="6"/>
    </row>
    <row r="593" spans="2:21" hidden="1" outlineLevel="1" x14ac:dyDescent="0.3">
      <c r="D593" s="5"/>
      <c r="E593" s="5"/>
      <c r="F593" s="5"/>
      <c r="G593" s="6"/>
      <c r="H593" s="6"/>
      <c r="I593" s="6"/>
      <c r="J593" s="6"/>
      <c r="K593" s="6"/>
      <c r="L593" s="6"/>
    </row>
    <row r="594" spans="2:21" hidden="1" outlineLevel="1" x14ac:dyDescent="0.3"/>
    <row r="595" spans="2:21" hidden="1" outlineLevel="1" x14ac:dyDescent="0.3">
      <c r="B595" s="1" t="s">
        <v>177</v>
      </c>
      <c r="C595" s="239"/>
    </row>
    <row r="596" spans="2:21" hidden="1" outlineLevel="1" x14ac:dyDescent="0.3">
      <c r="B596" s="1" t="s">
        <v>294</v>
      </c>
      <c r="C596" s="286" t="s">
        <v>462</v>
      </c>
      <c r="D596" s="286"/>
      <c r="E596" s="286"/>
      <c r="F596" s="286"/>
      <c r="G596" s="286"/>
      <c r="H596" s="286"/>
      <c r="I596" s="286"/>
    </row>
    <row r="597" spans="2:21" hidden="1" outlineLevel="1" x14ac:dyDescent="0.3">
      <c r="B597" s="1" t="s">
        <v>297</v>
      </c>
      <c r="C597" s="286" t="s">
        <v>463</v>
      </c>
      <c r="D597" s="286"/>
      <c r="E597" s="286"/>
      <c r="F597" s="286"/>
      <c r="G597" s="286"/>
      <c r="H597" s="286"/>
      <c r="I597" s="286"/>
    </row>
    <row r="598" spans="2:21" hidden="1" outlineLevel="1" x14ac:dyDescent="0.3">
      <c r="B598" s="1" t="s">
        <v>299</v>
      </c>
      <c r="C598" s="286" t="s">
        <v>464</v>
      </c>
      <c r="D598" s="286"/>
      <c r="E598" s="286"/>
      <c r="F598" s="286"/>
      <c r="G598" s="286"/>
      <c r="H598" s="286"/>
      <c r="I598" s="286"/>
    </row>
    <row r="599" spans="2:21" hidden="1" outlineLevel="1" x14ac:dyDescent="0.3">
      <c r="B599" s="1" t="s">
        <v>301</v>
      </c>
      <c r="C599" s="286" t="s">
        <v>465</v>
      </c>
      <c r="D599" s="286"/>
      <c r="E599" s="286"/>
      <c r="F599" s="286"/>
      <c r="G599" s="286"/>
      <c r="H599" s="286"/>
      <c r="I599" s="286"/>
    </row>
    <row r="600" spans="2:21" hidden="1" outlineLevel="1" x14ac:dyDescent="0.3">
      <c r="B600" s="1" t="s">
        <v>347</v>
      </c>
      <c r="C600" s="286" t="s">
        <v>466</v>
      </c>
      <c r="D600" s="286"/>
      <c r="E600" s="286"/>
      <c r="F600" s="286"/>
      <c r="G600" s="286"/>
      <c r="H600" s="286"/>
      <c r="I600" s="286"/>
    </row>
    <row r="601" spans="2:21" hidden="1" outlineLevel="1" x14ac:dyDescent="0.3"/>
    <row r="602" spans="2:21" collapsed="1" x14ac:dyDescent="0.3"/>
    <row r="603" spans="2:21" ht="20.100000000000001" customHeight="1" x14ac:dyDescent="0.3">
      <c r="B603" s="234" t="s">
        <v>467</v>
      </c>
      <c r="C603" s="235"/>
      <c r="D603" s="236"/>
      <c r="E603" s="236"/>
      <c r="F603" s="236"/>
      <c r="G603" s="235"/>
      <c r="H603" s="235"/>
      <c r="I603" s="235"/>
      <c r="J603" s="235"/>
      <c r="K603" s="235"/>
      <c r="L603" s="235"/>
    </row>
    <row r="604" spans="2:21" hidden="1" outlineLevel="1" x14ac:dyDescent="0.3">
      <c r="B604" s="1" t="s">
        <v>468</v>
      </c>
      <c r="D604" s="1"/>
      <c r="E604" s="108" t="s">
        <v>469</v>
      </c>
      <c r="J604" s="121" t="s">
        <v>470</v>
      </c>
    </row>
    <row r="605" spans="2:21" hidden="1" outlineLevel="1" x14ac:dyDescent="0.3">
      <c r="B605" s="1" t="s">
        <v>471</v>
      </c>
      <c r="D605" s="1"/>
      <c r="E605" s="30"/>
      <c r="F605" s="30"/>
      <c r="J605" s="1" t="s">
        <v>472</v>
      </c>
      <c r="K605" s="2">
        <v>1592</v>
      </c>
    </row>
    <row r="606" spans="2:21" ht="15" hidden="1" customHeight="1" outlineLevel="1" x14ac:dyDescent="0.3">
      <c r="B606" s="1" t="s">
        <v>472</v>
      </c>
      <c r="C606" s="1">
        <v>1592</v>
      </c>
      <c r="E606" s="133" t="s">
        <v>473</v>
      </c>
      <c r="F606" s="133" t="s">
        <v>474</v>
      </c>
      <c r="G606" s="133" t="s">
        <v>475</v>
      </c>
      <c r="L606" s="1" t="s">
        <v>476</v>
      </c>
    </row>
    <row r="607" spans="2:21" hidden="1" outlineLevel="1" x14ac:dyDescent="0.3">
      <c r="C607" s="71"/>
      <c r="E607" s="10">
        <v>1.2E-2</v>
      </c>
      <c r="F607" s="10">
        <v>8.0000000000000002E-3</v>
      </c>
      <c r="G607" s="10">
        <v>6.3E-2</v>
      </c>
      <c r="J607" s="116">
        <f>J609/G609-1</f>
        <v>3.4998505501243393E-2</v>
      </c>
      <c r="L607" s="116">
        <f>L609/J609-1</f>
        <v>5.1999525737224772E-2</v>
      </c>
      <c r="N607" s="116">
        <f>N609/L609-1</f>
        <v>4.1998744143360911E-2</v>
      </c>
      <c r="O607" s="1" t="s">
        <v>477</v>
      </c>
    </row>
    <row r="608" spans="2:21" ht="14.4" hidden="1" customHeight="1" outlineLevel="1" x14ac:dyDescent="0.3">
      <c r="D608" s="180">
        <v>2019</v>
      </c>
      <c r="E608" s="180">
        <v>2020</v>
      </c>
      <c r="F608" s="180">
        <v>2021</v>
      </c>
      <c r="G608" s="180">
        <v>2022</v>
      </c>
      <c r="H608" s="2" t="s">
        <v>478</v>
      </c>
      <c r="J608" s="287">
        <v>2023</v>
      </c>
      <c r="K608" s="287" t="s">
        <v>479</v>
      </c>
      <c r="L608" s="288">
        <v>2024</v>
      </c>
      <c r="M608" s="77" t="s">
        <v>480</v>
      </c>
      <c r="N608" s="289">
        <v>2025</v>
      </c>
      <c r="O608" s="287" t="s">
        <v>481</v>
      </c>
      <c r="Q608" s="290" t="s">
        <v>482</v>
      </c>
      <c r="R608" s="291"/>
      <c r="S608" s="291"/>
      <c r="T608" s="291"/>
      <c r="U608" s="292"/>
    </row>
    <row r="609" spans="2:21" ht="18" hidden="1" customHeight="1" outlineLevel="1" x14ac:dyDescent="0.3">
      <c r="B609" s="237" t="s">
        <v>294</v>
      </c>
      <c r="C609" s="238"/>
      <c r="D609" s="143">
        <v>29458.66</v>
      </c>
      <c r="E609" s="143">
        <f>+D609*(1+E$607)</f>
        <v>29812.163919999999</v>
      </c>
      <c r="F609" s="143">
        <f>+E609*(1+F$607)</f>
        <v>30050.661231359998</v>
      </c>
      <c r="G609" s="293">
        <f>+F609*(1+G$607)</f>
        <v>31943.852888935675</v>
      </c>
      <c r="H609" s="294">
        <f>+G609/$C$606</f>
        <v>20.065234226718388</v>
      </c>
      <c r="J609" s="295">
        <v>33061.839999999997</v>
      </c>
      <c r="K609" s="295">
        <f>J609/$K$605</f>
        <v>20.767487437185927</v>
      </c>
      <c r="L609" s="296">
        <v>34781.040000000001</v>
      </c>
      <c r="M609" s="297">
        <f>L609/$K$605</f>
        <v>21.847386934673366</v>
      </c>
      <c r="N609" s="298">
        <v>36241.800000000003</v>
      </c>
      <c r="O609" s="295">
        <f>N609/$K$605</f>
        <v>22.764949748743721</v>
      </c>
      <c r="P609" s="299"/>
      <c r="Q609" s="300"/>
      <c r="R609" s="301"/>
      <c r="S609" s="301"/>
      <c r="T609" s="301"/>
      <c r="U609" s="302"/>
    </row>
    <row r="610" spans="2:21" ht="18" hidden="1" customHeight="1" outlineLevel="1" x14ac:dyDescent="0.3">
      <c r="B610" s="237" t="s">
        <v>297</v>
      </c>
      <c r="C610" s="238"/>
      <c r="D610" s="143">
        <v>26711.439999999999</v>
      </c>
      <c r="E610" s="143">
        <f t="shared" ref="E610:G613" si="121">+D610*(1+E$607)</f>
        <v>27031.977279999999</v>
      </c>
      <c r="F610" s="143">
        <f t="shared" si="121"/>
        <v>27248.233098239998</v>
      </c>
      <c r="G610" s="293">
        <f t="shared" si="121"/>
        <v>28964.871783429116</v>
      </c>
      <c r="H610" s="294">
        <f t="shared" ref="H610:H613" si="122">+G610/$C$606</f>
        <v>18.194014939339898</v>
      </c>
      <c r="J610" s="298">
        <v>29978.62</v>
      </c>
      <c r="K610" s="298">
        <f t="shared" ref="K610:M613" si="123">J610/$K$605</f>
        <v>18.830791457286431</v>
      </c>
      <c r="L610" s="296">
        <v>31537.52</v>
      </c>
      <c r="M610" s="296">
        <f t="shared" si="123"/>
        <v>19.809999999999999</v>
      </c>
      <c r="N610" s="298">
        <v>32862.06</v>
      </c>
      <c r="O610" s="298">
        <f t="shared" ref="O610:O613" si="124">N610/$K$605</f>
        <v>20.641997487437184</v>
      </c>
      <c r="P610" s="299"/>
      <c r="Q610" s="300"/>
      <c r="R610" s="301"/>
      <c r="S610" s="301"/>
      <c r="T610" s="301"/>
      <c r="U610" s="302"/>
    </row>
    <row r="611" spans="2:21" ht="18" hidden="1" customHeight="1" outlineLevel="1" x14ac:dyDescent="0.3">
      <c r="B611" s="237" t="s">
        <v>299</v>
      </c>
      <c r="C611" s="238"/>
      <c r="D611" s="143">
        <v>24421.599999999999</v>
      </c>
      <c r="E611" s="143">
        <f t="shared" si="121"/>
        <v>24714.659199999998</v>
      </c>
      <c r="F611" s="143">
        <f t="shared" si="121"/>
        <v>24912.376473599998</v>
      </c>
      <c r="G611" s="293">
        <f t="shared" si="121"/>
        <v>26481.856191436797</v>
      </c>
      <c r="H611" s="294">
        <f t="shared" si="122"/>
        <v>16.634331778540702</v>
      </c>
      <c r="J611" s="303">
        <v>27408.5</v>
      </c>
      <c r="K611" s="303">
        <f t="shared" si="123"/>
        <v>17.216394472361809</v>
      </c>
      <c r="L611" s="296">
        <v>28833.84</v>
      </c>
      <c r="M611" s="304">
        <f t="shared" si="123"/>
        <v>18.111708542713568</v>
      </c>
      <c r="N611" s="298">
        <v>30044.84</v>
      </c>
      <c r="O611" s="303">
        <f t="shared" si="124"/>
        <v>18.872386934673369</v>
      </c>
      <c r="P611" s="299"/>
      <c r="Q611" s="305"/>
      <c r="R611" s="306"/>
      <c r="S611" s="306"/>
      <c r="T611" s="306"/>
      <c r="U611" s="307"/>
    </row>
    <row r="612" spans="2:21" ht="18" hidden="1" customHeight="1" outlineLevel="1" x14ac:dyDescent="0.3">
      <c r="B612" s="237" t="s">
        <v>301</v>
      </c>
      <c r="C612" s="238"/>
      <c r="D612" s="143">
        <v>21857.64</v>
      </c>
      <c r="E612" s="143">
        <f t="shared" si="121"/>
        <v>22119.931679999998</v>
      </c>
      <c r="F612" s="143">
        <f t="shared" si="121"/>
        <v>22296.891133439996</v>
      </c>
      <c r="G612" s="293">
        <f t="shared" si="121"/>
        <v>23701.595274846713</v>
      </c>
      <c r="H612" s="294">
        <f t="shared" si="122"/>
        <v>14.887936730431353</v>
      </c>
      <c r="J612" s="308">
        <v>24531.08</v>
      </c>
      <c r="K612" s="308">
        <f t="shared" si="123"/>
        <v>15.408969849246231</v>
      </c>
      <c r="L612" s="296">
        <v>25806.76</v>
      </c>
      <c r="M612" s="24">
        <f t="shared" si="123"/>
        <v>16.210276381909548</v>
      </c>
      <c r="N612" s="298">
        <v>26890.639999999999</v>
      </c>
      <c r="O612" s="308">
        <f t="shared" si="124"/>
        <v>16.891105527638192</v>
      </c>
      <c r="P612" s="116"/>
      <c r="Q612" s="116"/>
      <c r="R612" s="116"/>
    </row>
    <row r="613" spans="2:21" ht="18" hidden="1" customHeight="1" outlineLevel="1" x14ac:dyDescent="0.3">
      <c r="B613" s="237" t="s">
        <v>347</v>
      </c>
      <c r="C613" s="238"/>
      <c r="D613" s="143">
        <v>19537.419999999998</v>
      </c>
      <c r="E613" s="143">
        <f t="shared" si="121"/>
        <v>19771.869039999998</v>
      </c>
      <c r="F613" s="143">
        <f t="shared" si="121"/>
        <v>19930.043992319999</v>
      </c>
      <c r="G613" s="293">
        <f t="shared" si="121"/>
        <v>21185.636763836159</v>
      </c>
      <c r="H613" s="294">
        <f t="shared" si="122"/>
        <v>13.307560781304121</v>
      </c>
      <c r="J613" s="309">
        <v>21927.08</v>
      </c>
      <c r="K613" s="309">
        <f t="shared" si="123"/>
        <v>13.773291457286433</v>
      </c>
      <c r="L613" s="310">
        <v>23767.24</v>
      </c>
      <c r="M613" s="311">
        <f t="shared" si="123"/>
        <v>14.929170854271359</v>
      </c>
      <c r="N613" s="298">
        <v>24736.18</v>
      </c>
      <c r="O613" s="309">
        <f t="shared" si="124"/>
        <v>15.537801507537688</v>
      </c>
      <c r="P613" s="116"/>
      <c r="Q613" s="116"/>
      <c r="R613" s="116"/>
    </row>
    <row r="614" spans="2:21" hidden="1" outlineLevel="1" x14ac:dyDescent="0.3">
      <c r="D614" s="1"/>
      <c r="E614" s="1"/>
      <c r="F614" s="1"/>
      <c r="P614" s="2"/>
      <c r="Q614" s="5"/>
    </row>
    <row r="615" spans="2:21" hidden="1" outlineLevel="1" x14ac:dyDescent="0.3">
      <c r="E615" s="10">
        <v>1.2E-2</v>
      </c>
      <c r="F615" s="10">
        <v>0</v>
      </c>
      <c r="G615" s="10">
        <v>6.3E-2</v>
      </c>
      <c r="J615" s="116">
        <f>J616/G616-1</f>
        <v>3.4914138038042442E-2</v>
      </c>
      <c r="L615" s="116">
        <f>L616/J616-1</f>
        <v>5.2017202539422325E-2</v>
      </c>
      <c r="N615" s="116">
        <f>N616/L616-1</f>
        <v>4.2047887872298961E-2</v>
      </c>
      <c r="Q615" s="29"/>
    </row>
    <row r="616" spans="2:21" hidden="1" outlineLevel="1" x14ac:dyDescent="0.3">
      <c r="C616" s="122" t="s">
        <v>483</v>
      </c>
      <c r="D616" s="142">
        <v>614.04</v>
      </c>
      <c r="E616" s="142">
        <f>+D616*(1+E$615)</f>
        <v>621.40847999999994</v>
      </c>
      <c r="F616" s="142">
        <f t="shared" ref="F616:G616" si="125">+E616*(1+F$615)</f>
        <v>621.40847999999994</v>
      </c>
      <c r="G616" s="142">
        <f t="shared" si="125"/>
        <v>660.55721423999989</v>
      </c>
      <c r="J616" s="312">
        <v>683.62</v>
      </c>
      <c r="K616" s="313">
        <f>J616/G616-1</f>
        <v>3.4914138038042442E-2</v>
      </c>
      <c r="L616" s="142">
        <v>719.18</v>
      </c>
      <c r="N616" s="312">
        <v>749.42</v>
      </c>
      <c r="O616" s="272"/>
    </row>
    <row r="617" spans="2:21" hidden="1" outlineLevel="1" x14ac:dyDescent="0.3">
      <c r="C617" s="1" t="s">
        <v>484</v>
      </c>
      <c r="D617" s="1"/>
      <c r="E617" s="1"/>
      <c r="F617" s="1"/>
    </row>
    <row r="618" spans="2:21" hidden="1" outlineLevel="1" x14ac:dyDescent="0.3">
      <c r="C618" s="122" t="s">
        <v>485</v>
      </c>
      <c r="D618" s="142">
        <v>2292.6</v>
      </c>
      <c r="E618" s="142">
        <f t="shared" ref="E618:G625" si="126">+D618*(1+E$615)</f>
        <v>2320.1111999999998</v>
      </c>
      <c r="F618" s="142">
        <f t="shared" si="126"/>
        <v>2320.1111999999998</v>
      </c>
      <c r="G618" s="142">
        <f t="shared" si="126"/>
        <v>2466.2782055999996</v>
      </c>
      <c r="J618" s="312">
        <v>2552.52</v>
      </c>
      <c r="K618" s="313">
        <f>J618/G618-1</f>
        <v>3.4968396592151452E-2</v>
      </c>
      <c r="L618" s="142">
        <v>2685.24</v>
      </c>
      <c r="M618" s="314">
        <f>L618/J618-1</f>
        <v>5.1995674862488794E-2</v>
      </c>
      <c r="N618" s="312">
        <v>2798.04</v>
      </c>
      <c r="O618" s="313">
        <f>N618/L618-1</f>
        <v>4.2007418331322377E-2</v>
      </c>
    </row>
    <row r="619" spans="2:21" hidden="1" outlineLevel="1" x14ac:dyDescent="0.3">
      <c r="C619" s="122" t="s">
        <v>486</v>
      </c>
      <c r="D619" s="142">
        <v>2292.6</v>
      </c>
      <c r="E619" s="142">
        <f t="shared" si="126"/>
        <v>2320.1111999999998</v>
      </c>
      <c r="F619" s="142">
        <f t="shared" si="126"/>
        <v>2320.1111999999998</v>
      </c>
      <c r="G619" s="142">
        <f t="shared" si="126"/>
        <v>2466.2782055999996</v>
      </c>
      <c r="J619" s="312">
        <v>2552.52</v>
      </c>
      <c r="K619" s="313">
        <f t="shared" ref="K619:K623" si="127">J619/G619-1</f>
        <v>3.4968396592151452E-2</v>
      </c>
      <c r="L619" s="142">
        <v>2685.24</v>
      </c>
      <c r="M619" s="314">
        <f t="shared" ref="M619:M624" si="128">L619/J619-1</f>
        <v>5.1995674862488794E-2</v>
      </c>
      <c r="N619" s="312">
        <v>2798.04</v>
      </c>
      <c r="O619" s="313">
        <f t="shared" ref="O619:O624" si="129">N619/L619-1</f>
        <v>4.2007418331322377E-2</v>
      </c>
    </row>
    <row r="620" spans="2:21" hidden="1" outlineLevel="1" x14ac:dyDescent="0.3">
      <c r="C620" s="122" t="s">
        <v>487</v>
      </c>
      <c r="D620" s="142">
        <v>4.5</v>
      </c>
      <c r="E620" s="142">
        <f t="shared" si="126"/>
        <v>4.5540000000000003</v>
      </c>
      <c r="F620" s="142">
        <f t="shared" si="126"/>
        <v>4.5540000000000003</v>
      </c>
      <c r="G620" s="142">
        <f t="shared" si="126"/>
        <v>4.8409019999999998</v>
      </c>
      <c r="J620" s="312">
        <v>5.01</v>
      </c>
      <c r="K620" s="313">
        <f t="shared" si="127"/>
        <v>3.4931093420193182E-2</v>
      </c>
      <c r="L620" s="142">
        <v>5.27</v>
      </c>
      <c r="M620" s="314">
        <f t="shared" si="128"/>
        <v>5.1896207584830378E-2</v>
      </c>
      <c r="N620" s="312">
        <v>5.49</v>
      </c>
      <c r="O620" s="313">
        <f t="shared" si="129"/>
        <v>4.1745730550284854E-2</v>
      </c>
    </row>
    <row r="621" spans="2:21" hidden="1" outlineLevel="1" x14ac:dyDescent="0.3">
      <c r="C621" s="122" t="s">
        <v>488</v>
      </c>
      <c r="D621" s="142">
        <v>5.0599999999999996</v>
      </c>
      <c r="E621" s="142">
        <f t="shared" si="126"/>
        <v>5.1207199999999995</v>
      </c>
      <c r="F621" s="142">
        <f t="shared" si="126"/>
        <v>5.1207199999999995</v>
      </c>
      <c r="G621" s="142">
        <f t="shared" si="126"/>
        <v>5.4433253599999993</v>
      </c>
      <c r="J621" s="312">
        <v>5.63</v>
      </c>
      <c r="K621" s="313">
        <f t="shared" si="127"/>
        <v>3.4294227821061396E-2</v>
      </c>
      <c r="L621" s="142">
        <v>5.92</v>
      </c>
      <c r="M621" s="314">
        <f t="shared" si="128"/>
        <v>5.1509769094138624E-2</v>
      </c>
      <c r="N621" s="312">
        <v>6.17</v>
      </c>
      <c r="O621" s="313">
        <f t="shared" si="129"/>
        <v>4.2229729729729826E-2</v>
      </c>
    </row>
    <row r="622" spans="2:21" hidden="1" outlineLevel="1" x14ac:dyDescent="0.3">
      <c r="C622" s="122" t="s">
        <v>489</v>
      </c>
      <c r="D622" s="142">
        <v>8.99</v>
      </c>
      <c r="E622" s="142">
        <f t="shared" si="126"/>
        <v>9.09788</v>
      </c>
      <c r="F622" s="142">
        <f t="shared" si="126"/>
        <v>9.09788</v>
      </c>
      <c r="G622" s="142">
        <f t="shared" si="126"/>
        <v>9.6710464399999996</v>
      </c>
      <c r="J622" s="312">
        <v>10.01</v>
      </c>
      <c r="K622" s="313">
        <f t="shared" si="127"/>
        <v>3.5048281703836004E-2</v>
      </c>
      <c r="L622" s="142">
        <v>10.53</v>
      </c>
      <c r="M622" s="314">
        <f t="shared" si="128"/>
        <v>5.1948051948051965E-2</v>
      </c>
      <c r="N622" s="312">
        <v>10.97</v>
      </c>
      <c r="O622" s="313">
        <f t="shared" si="129"/>
        <v>4.1785375118708501E-2</v>
      </c>
    </row>
    <row r="623" spans="2:21" hidden="1" outlineLevel="1" x14ac:dyDescent="0.3">
      <c r="C623" s="122" t="s">
        <v>490</v>
      </c>
      <c r="D623" s="142">
        <v>3.16</v>
      </c>
      <c r="E623" s="142">
        <f t="shared" si="126"/>
        <v>3.1979200000000003</v>
      </c>
      <c r="F623" s="142">
        <f t="shared" si="126"/>
        <v>3.1979200000000003</v>
      </c>
      <c r="G623" s="142">
        <f t="shared" si="126"/>
        <v>3.39938896</v>
      </c>
      <c r="J623" s="312">
        <v>3.52</v>
      </c>
      <c r="K623" s="313">
        <f t="shared" si="127"/>
        <v>3.548021171428406E-2</v>
      </c>
      <c r="L623" s="142">
        <v>3.7</v>
      </c>
      <c r="M623" s="314">
        <f t="shared" si="128"/>
        <v>5.1136363636363757E-2</v>
      </c>
      <c r="N623" s="312">
        <v>3.86</v>
      </c>
      <c r="O623" s="313">
        <f t="shared" si="129"/>
        <v>4.3243243243243246E-2</v>
      </c>
    </row>
    <row r="624" spans="2:21" hidden="1" outlineLevel="1" x14ac:dyDescent="0.3">
      <c r="C624" s="122" t="s">
        <v>491</v>
      </c>
      <c r="D624" s="142">
        <v>0.32</v>
      </c>
      <c r="E624" s="142">
        <f t="shared" si="126"/>
        <v>0.32384000000000002</v>
      </c>
      <c r="F624" s="142">
        <f t="shared" si="126"/>
        <v>0.32384000000000002</v>
      </c>
      <c r="G624" s="142">
        <f t="shared" si="126"/>
        <v>0.34424191999999998</v>
      </c>
      <c r="J624" s="312">
        <v>0.35</v>
      </c>
      <c r="K624" s="313">
        <f>J624/G624-1</f>
        <v>1.6726841402697312E-2</v>
      </c>
      <c r="L624" s="142">
        <v>0.37</v>
      </c>
      <c r="M624" s="314">
        <f t="shared" si="128"/>
        <v>5.7142857142857162E-2</v>
      </c>
      <c r="N624" s="312">
        <v>0.39</v>
      </c>
      <c r="O624" s="313">
        <f t="shared" si="129"/>
        <v>5.4054054054054168E-2</v>
      </c>
    </row>
    <row r="625" spans="2:15" hidden="1" outlineLevel="1" x14ac:dyDescent="0.3">
      <c r="C625" s="122" t="s">
        <v>492</v>
      </c>
      <c r="D625" s="142">
        <v>106.22</v>
      </c>
      <c r="E625" s="142">
        <f t="shared" si="126"/>
        <v>107.49464</v>
      </c>
      <c r="F625" s="142">
        <f t="shared" si="126"/>
        <v>107.49464</v>
      </c>
      <c r="G625" s="142">
        <f t="shared" si="126"/>
        <v>114.26680232</v>
      </c>
      <c r="J625" s="312">
        <v>118.27</v>
      </c>
      <c r="K625" s="313">
        <f>J625/G625-1</f>
        <v>3.5033777078920858E-2</v>
      </c>
      <c r="L625" s="142">
        <v>124.42</v>
      </c>
      <c r="M625" s="314">
        <f>L625/J625-1</f>
        <v>5.1999661790817608E-2</v>
      </c>
      <c r="N625" s="312">
        <v>129.65</v>
      </c>
      <c r="O625" s="313">
        <f>N625/L625-1</f>
        <v>4.2035042597653227E-2</v>
      </c>
    </row>
    <row r="626" spans="2:15" hidden="1" outlineLevel="1" x14ac:dyDescent="0.3">
      <c r="D626" s="5"/>
      <c r="E626" s="5"/>
      <c r="F626" s="5"/>
      <c r="G626" s="5"/>
      <c r="J626" s="5"/>
      <c r="L626" s="5"/>
      <c r="N626" s="5"/>
    </row>
    <row r="627" spans="2:15" hidden="1" outlineLevel="1" x14ac:dyDescent="0.3">
      <c r="C627" s="121" t="s">
        <v>493</v>
      </c>
      <c r="D627" s="1"/>
    </row>
    <row r="628" spans="2:15" hidden="1" outlineLevel="1" x14ac:dyDescent="0.3">
      <c r="C628" s="1" t="s">
        <v>494</v>
      </c>
      <c r="D628" s="1"/>
    </row>
    <row r="629" spans="2:15" hidden="1" outlineLevel="1" x14ac:dyDescent="0.3">
      <c r="C629" s="315" t="s">
        <v>294</v>
      </c>
      <c r="D629" s="1"/>
      <c r="J629" s="312">
        <v>3658.37</v>
      </c>
      <c r="K629" s="272"/>
      <c r="L629" s="142">
        <v>3848.61</v>
      </c>
      <c r="M629" s="314">
        <f t="shared" ref="M629:O633" si="130">L629/J629-1</f>
        <v>5.2001301125911281E-2</v>
      </c>
      <c r="N629" s="312">
        <v>4010.25</v>
      </c>
      <c r="O629" s="313">
        <f t="shared" si="130"/>
        <v>4.1999579068806581E-2</v>
      </c>
    </row>
    <row r="630" spans="2:15" hidden="1" outlineLevel="1" x14ac:dyDescent="0.3">
      <c r="C630" s="315" t="s">
        <v>297</v>
      </c>
      <c r="D630" s="1"/>
      <c r="J630" s="312">
        <v>5909.68</v>
      </c>
      <c r="K630" s="272"/>
      <c r="L630" s="142">
        <v>6216.98</v>
      </c>
      <c r="M630" s="314">
        <f t="shared" si="130"/>
        <v>5.1999431441296151E-2</v>
      </c>
      <c r="N630" s="312">
        <v>6478.1</v>
      </c>
      <c r="O630" s="313">
        <f t="shared" si="130"/>
        <v>4.2001100212643472E-2</v>
      </c>
    </row>
    <row r="631" spans="2:15" hidden="1" outlineLevel="1" x14ac:dyDescent="0.3">
      <c r="C631" s="315" t="s">
        <v>299</v>
      </c>
      <c r="D631" s="1"/>
      <c r="J631" s="312">
        <v>7598.16</v>
      </c>
      <c r="K631" s="272"/>
      <c r="L631" s="142">
        <v>7993.27</v>
      </c>
      <c r="M631" s="314">
        <f t="shared" si="130"/>
        <v>5.2000747549406867E-2</v>
      </c>
      <c r="N631" s="312">
        <v>8328.99</v>
      </c>
      <c r="O631" s="313">
        <f t="shared" si="130"/>
        <v>4.2000332779950966E-2</v>
      </c>
    </row>
    <row r="632" spans="2:15" hidden="1" outlineLevel="1" x14ac:dyDescent="0.3">
      <c r="C632" s="315" t="s">
        <v>301</v>
      </c>
      <c r="D632" s="1"/>
      <c r="J632" s="312">
        <v>9849.48</v>
      </c>
      <c r="K632" s="272"/>
      <c r="L632" s="142">
        <v>10361.65</v>
      </c>
      <c r="M632" s="314">
        <f t="shared" si="130"/>
        <v>5.1999699476520611E-2</v>
      </c>
      <c r="N632" s="312">
        <v>10796.85</v>
      </c>
      <c r="O632" s="313">
        <f t="shared" si="130"/>
        <v>4.2001032654065851E-2</v>
      </c>
    </row>
    <row r="633" spans="2:15" hidden="1" outlineLevel="1" x14ac:dyDescent="0.3">
      <c r="C633" s="315" t="s">
        <v>347</v>
      </c>
      <c r="D633" s="1"/>
      <c r="J633" s="312">
        <v>12663.62</v>
      </c>
      <c r="K633" s="272"/>
      <c r="L633" s="142">
        <v>13322.13</v>
      </c>
      <c r="M633" s="314">
        <f t="shared" si="130"/>
        <v>5.2000138980796917E-2</v>
      </c>
      <c r="N633" s="312">
        <v>13881.66</v>
      </c>
      <c r="O633" s="313">
        <f t="shared" si="130"/>
        <v>4.2000040534058813E-2</v>
      </c>
    </row>
    <row r="634" spans="2:15" hidden="1" outlineLevel="1" x14ac:dyDescent="0.3"/>
    <row r="635" spans="2:15" hidden="1" outlineLevel="1" x14ac:dyDescent="0.3"/>
    <row r="636" spans="2:15" collapsed="1" x14ac:dyDescent="0.3"/>
    <row r="637" spans="2:15" ht="20.100000000000001" customHeight="1" x14ac:dyDescent="0.3">
      <c r="B637" s="234" t="s">
        <v>495</v>
      </c>
      <c r="C637" s="235"/>
      <c r="D637" s="236"/>
      <c r="E637" s="236"/>
      <c r="F637" s="236"/>
      <c r="G637" s="235"/>
      <c r="H637" s="235"/>
      <c r="I637" s="235"/>
      <c r="J637" s="235"/>
      <c r="K637" s="235"/>
      <c r="L637" s="235"/>
    </row>
    <row r="638" spans="2:15" ht="15" hidden="1" customHeight="1" outlineLevel="1" x14ac:dyDescent="0.3">
      <c r="E638" s="29"/>
      <c r="F638" s="179" t="s">
        <v>496</v>
      </c>
      <c r="G638" s="179"/>
      <c r="H638" s="179"/>
      <c r="I638" s="179"/>
      <c r="J638" s="179"/>
      <c r="K638" s="179"/>
      <c r="L638" s="179"/>
      <c r="M638" s="179"/>
    </row>
    <row r="639" spans="2:15" ht="15" hidden="1" customHeight="1" outlineLevel="1" x14ac:dyDescent="0.3">
      <c r="B639" s="1" t="s">
        <v>497</v>
      </c>
      <c r="E639" s="29"/>
      <c r="F639" s="179"/>
      <c r="G639" s="179"/>
      <c r="H639" s="179"/>
      <c r="I639" s="179"/>
      <c r="J639" s="179"/>
      <c r="K639" s="179"/>
      <c r="L639" s="179"/>
      <c r="M639" s="179"/>
      <c r="N639" s="316"/>
    </row>
    <row r="640" spans="2:15" hidden="1" outlineLevel="1" x14ac:dyDescent="0.3">
      <c r="B640" s="88" t="s">
        <v>498</v>
      </c>
      <c r="E640" s="29"/>
      <c r="F640" s="179"/>
      <c r="G640" s="179"/>
      <c r="H640" s="179"/>
      <c r="I640" s="179"/>
      <c r="J640" s="179"/>
      <c r="K640" s="179"/>
      <c r="L640" s="179"/>
      <c r="M640" s="179"/>
      <c r="N640" s="316"/>
    </row>
    <row r="641" spans="2:19" hidden="1" outlineLevel="1" x14ac:dyDescent="0.3">
      <c r="E641" s="29"/>
      <c r="F641" s="1"/>
      <c r="G641" s="10">
        <v>6.6000000000000003E-2</v>
      </c>
      <c r="J641" s="10">
        <v>6.4000000000000001E-2</v>
      </c>
      <c r="M641" s="10">
        <v>2.9000000000000001E-2</v>
      </c>
    </row>
    <row r="642" spans="2:19" hidden="1" outlineLevel="1" x14ac:dyDescent="0.3">
      <c r="D642" s="2">
        <v>1680</v>
      </c>
      <c r="F642" s="2">
        <v>1660</v>
      </c>
      <c r="I642" s="2">
        <v>1640</v>
      </c>
      <c r="L642" s="2">
        <v>1620</v>
      </c>
      <c r="Q642" s="1" t="s">
        <v>499</v>
      </c>
    </row>
    <row r="643" spans="2:19" hidden="1" outlineLevel="1" x14ac:dyDescent="0.3">
      <c r="D643" s="180">
        <v>2021</v>
      </c>
      <c r="E643" s="1"/>
      <c r="F643" s="180">
        <v>2022</v>
      </c>
      <c r="G643" s="180" t="s">
        <v>500</v>
      </c>
      <c r="I643" s="180">
        <v>2023</v>
      </c>
      <c r="J643" s="180" t="s">
        <v>501</v>
      </c>
      <c r="L643" s="180">
        <v>2024</v>
      </c>
      <c r="M643" s="180" t="s">
        <v>502</v>
      </c>
      <c r="Q643" s="180">
        <v>2022</v>
      </c>
      <c r="R643" s="180">
        <v>2023</v>
      </c>
      <c r="S643" s="180">
        <v>2024</v>
      </c>
    </row>
    <row r="644" spans="2:19" ht="40.200000000000003" hidden="1" customHeight="1" outlineLevel="1" x14ac:dyDescent="0.3">
      <c r="B644" s="237" t="s">
        <v>294</v>
      </c>
      <c r="C644" s="317" t="s">
        <v>503</v>
      </c>
      <c r="D644" s="143">
        <v>24381.119999999999</v>
      </c>
      <c r="E644" s="143">
        <f>+D644/D$642</f>
        <v>14.512571428571428</v>
      </c>
      <c r="F644" s="318">
        <v>25397</v>
      </c>
      <c r="G644" s="143">
        <f>D644*(1+$G$641)</f>
        <v>25990.27392</v>
      </c>
      <c r="H644" s="143">
        <f>+G644/F$642</f>
        <v>15.656791518072289</v>
      </c>
      <c r="I644" s="318">
        <v>26453.51</v>
      </c>
      <c r="J644" s="143">
        <f>+G644*$J$641+G644</f>
        <v>27653.651450879999</v>
      </c>
      <c r="K644" s="143">
        <f>+J644/I$642</f>
        <v>16.861982592</v>
      </c>
      <c r="L644" s="318">
        <v>27510.02</v>
      </c>
      <c r="M644" s="143">
        <f>+J644*$M$641+J644</f>
        <v>28455.607342955518</v>
      </c>
      <c r="N644" s="143">
        <f>+M644/L$642</f>
        <v>17.565189717873778</v>
      </c>
      <c r="Q644" s="30">
        <f>+H644/E644-1</f>
        <v>7.8843373493975966E-2</v>
      </c>
      <c r="R644" s="30">
        <f>+K644/H644-1</f>
        <v>7.6975609756097629E-2</v>
      </c>
      <c r="S644" s="30">
        <f>+N644/K644-1</f>
        <v>4.1703703703703798E-2</v>
      </c>
    </row>
    <row r="645" spans="2:19" ht="70.2" hidden="1" customHeight="1" outlineLevel="1" x14ac:dyDescent="0.3">
      <c r="B645" s="237" t="s">
        <v>297</v>
      </c>
      <c r="C645" s="319" t="s">
        <v>504</v>
      </c>
      <c r="D645" s="143">
        <v>22896</v>
      </c>
      <c r="E645" s="143">
        <f t="shared" ref="E645:E647" si="131">+D645/D$642</f>
        <v>13.628571428571428</v>
      </c>
      <c r="F645" s="318">
        <v>23775.56</v>
      </c>
      <c r="G645" s="143">
        <f>D645*(1+$G$641)</f>
        <v>24407.136000000002</v>
      </c>
      <c r="H645" s="143">
        <f>+G645/F$642</f>
        <v>14.703093975903617</v>
      </c>
      <c r="I645" s="318">
        <v>24832.07</v>
      </c>
      <c r="J645" s="143">
        <f>+G645*$J$641+G645</f>
        <v>25969.192704000001</v>
      </c>
      <c r="K645" s="143">
        <f t="shared" ref="K645:K647" si="132">+J645/I$642</f>
        <v>15.8348736</v>
      </c>
      <c r="L645" s="318">
        <v>25888.58</v>
      </c>
      <c r="M645" s="143">
        <f>+J645*$M$641+J645</f>
        <v>26722.299292416003</v>
      </c>
      <c r="N645" s="143">
        <f t="shared" ref="N645:N646" si="133">+M645/L$642</f>
        <v>16.495246476800002</v>
      </c>
      <c r="Q645" s="30">
        <f>+H645/E645-1</f>
        <v>7.8843373493976188E-2</v>
      </c>
      <c r="R645" s="30">
        <f>+K645/H645-1</f>
        <v>7.6975609756097407E-2</v>
      </c>
      <c r="S645" s="30">
        <f>+N645/K645-1</f>
        <v>4.1703703703703798E-2</v>
      </c>
    </row>
    <row r="646" spans="2:19" ht="60" hidden="1" customHeight="1" outlineLevel="1" x14ac:dyDescent="0.3">
      <c r="B646" s="237" t="s">
        <v>299</v>
      </c>
      <c r="C646" s="319" t="s">
        <v>505</v>
      </c>
      <c r="D646" s="143">
        <v>20698.560000000001</v>
      </c>
      <c r="E646" s="143">
        <f t="shared" si="131"/>
        <v>12.32057142857143</v>
      </c>
      <c r="F646" s="318">
        <v>21714.44</v>
      </c>
      <c r="G646" s="143">
        <f>D646*(1+$G$641)</f>
        <v>22064.664960000002</v>
      </c>
      <c r="H646" s="143">
        <f>+G646/F$642</f>
        <v>13.291966843373496</v>
      </c>
      <c r="I646" s="318">
        <v>22770.95</v>
      </c>
      <c r="J646" s="143">
        <f>+G646*$J$641+G646</f>
        <v>23476.803517440003</v>
      </c>
      <c r="K646" s="143">
        <f t="shared" si="132"/>
        <v>14.315124096000002</v>
      </c>
      <c r="L646" s="318">
        <v>23827.46</v>
      </c>
      <c r="M646" s="143">
        <f t="shared" ref="M646:M647" si="134">+J646*$M$641+J646</f>
        <v>24157.630819445763</v>
      </c>
      <c r="N646" s="143">
        <f t="shared" si="133"/>
        <v>14.912117789781336</v>
      </c>
      <c r="Q646" s="30">
        <f>+H646/E646-1</f>
        <v>7.8843373493975966E-2</v>
      </c>
      <c r="R646" s="30">
        <f>+K646/H646-1</f>
        <v>7.6975609756097629E-2</v>
      </c>
      <c r="S646" s="30">
        <f>+N646/K646-1</f>
        <v>4.1703703703703798E-2</v>
      </c>
    </row>
    <row r="647" spans="2:19" ht="45" hidden="1" customHeight="1" outlineLevel="1" x14ac:dyDescent="0.3">
      <c r="B647" s="237" t="s">
        <v>301</v>
      </c>
      <c r="C647" s="317" t="s">
        <v>506</v>
      </c>
      <c r="D647" s="143">
        <v>18912</v>
      </c>
      <c r="E647" s="143">
        <f t="shared" si="131"/>
        <v>11.257142857142858</v>
      </c>
      <c r="F647" s="318">
        <v>19927.88</v>
      </c>
      <c r="G647" s="143">
        <f>D647*(1+$G$641)</f>
        <v>20160.192000000003</v>
      </c>
      <c r="H647" s="143">
        <f>+G647/F$642</f>
        <v>12.144693975903616</v>
      </c>
      <c r="I647" s="318">
        <v>20984.39</v>
      </c>
      <c r="J647" s="143">
        <f>+G647*$J$641+G647</f>
        <v>21450.444288000002</v>
      </c>
      <c r="K647" s="143">
        <f t="shared" si="132"/>
        <v>13.079539200000001</v>
      </c>
      <c r="L647" s="318">
        <v>22040.9</v>
      </c>
      <c r="M647" s="143">
        <f t="shared" si="134"/>
        <v>22072.507172352001</v>
      </c>
      <c r="N647" s="143">
        <f>+M647/L$642</f>
        <v>13.625004427377778</v>
      </c>
      <c r="Q647" s="30">
        <f>+H647/E647-1</f>
        <v>7.8843373493975966E-2</v>
      </c>
      <c r="R647" s="30">
        <f>+K647/H647-1</f>
        <v>7.6975609756097629E-2</v>
      </c>
      <c r="S647" s="30">
        <f>+N647/K647-1</f>
        <v>4.1703703703703576E-2</v>
      </c>
    </row>
    <row r="648" spans="2:19" hidden="1" outlineLevel="1" x14ac:dyDescent="0.3"/>
    <row r="649" spans="2:19" hidden="1" outlineLevel="1" x14ac:dyDescent="0.3">
      <c r="C649" s="121" t="s">
        <v>507</v>
      </c>
      <c r="F649" s="30"/>
      <c r="G649" s="30"/>
      <c r="H649" s="30"/>
      <c r="I649" s="30"/>
      <c r="K649" s="30"/>
    </row>
    <row r="650" spans="2:19" hidden="1" outlineLevel="1" x14ac:dyDescent="0.3">
      <c r="D650" s="180">
        <v>2021</v>
      </c>
      <c r="E650" s="180">
        <v>2022</v>
      </c>
      <c r="F650" s="180">
        <v>2023</v>
      </c>
      <c r="G650" s="180">
        <v>2024</v>
      </c>
    </row>
    <row r="651" spans="2:19" hidden="1" outlineLevel="1" x14ac:dyDescent="0.3">
      <c r="C651" s="71" t="s">
        <v>508</v>
      </c>
      <c r="D651" s="320">
        <v>44</v>
      </c>
      <c r="E651" s="320">
        <v>44</v>
      </c>
      <c r="F651" s="321">
        <v>44</v>
      </c>
      <c r="G651" s="321">
        <v>44</v>
      </c>
      <c r="H651" s="110">
        <f>+D651*14</f>
        <v>616</v>
      </c>
      <c r="I651" s="110" t="s">
        <v>509</v>
      </c>
      <c r="K651" s="29"/>
      <c r="L651" s="322"/>
    </row>
    <row r="652" spans="2:19" hidden="1" outlineLevel="1" x14ac:dyDescent="0.3">
      <c r="C652" s="71" t="s">
        <v>510</v>
      </c>
      <c r="D652" s="320">
        <v>1800</v>
      </c>
      <c r="E652" s="321">
        <v>1872</v>
      </c>
      <c r="F652" s="321">
        <v>1946.88</v>
      </c>
      <c r="G652" s="321">
        <v>2024.75</v>
      </c>
      <c r="I652" s="110"/>
      <c r="K652" s="322"/>
      <c r="L652" s="322"/>
    </row>
    <row r="653" spans="2:19" hidden="1" outlineLevel="1" x14ac:dyDescent="0.3">
      <c r="C653" s="71" t="s">
        <v>511</v>
      </c>
      <c r="D653" s="320">
        <v>1800</v>
      </c>
      <c r="E653" s="321">
        <v>1872</v>
      </c>
      <c r="F653" s="321">
        <v>1946.88</v>
      </c>
      <c r="G653" s="321">
        <v>2024.75</v>
      </c>
    </row>
    <row r="654" spans="2:19" hidden="1" outlineLevel="1" x14ac:dyDescent="0.3">
      <c r="C654" s="71" t="s">
        <v>512</v>
      </c>
      <c r="D654" s="320">
        <v>3</v>
      </c>
      <c r="E654" s="321">
        <v>3.12</v>
      </c>
      <c r="F654" s="321">
        <v>3.24</v>
      </c>
      <c r="G654" s="321">
        <v>3.37</v>
      </c>
    </row>
    <row r="655" spans="2:19" hidden="1" outlineLevel="1" x14ac:dyDescent="0.3">
      <c r="C655" s="71" t="s">
        <v>513</v>
      </c>
      <c r="D655" s="320">
        <v>4.9000000000000004</v>
      </c>
      <c r="E655" s="321">
        <v>5.0999999999999996</v>
      </c>
      <c r="F655" s="321">
        <v>5.29</v>
      </c>
      <c r="G655" s="321">
        <v>5.51</v>
      </c>
    </row>
    <row r="656" spans="2:19" hidden="1" outlineLevel="1" x14ac:dyDescent="0.3">
      <c r="C656" s="71" t="s">
        <v>514</v>
      </c>
      <c r="D656" s="1" t="s">
        <v>515</v>
      </c>
    </row>
    <row r="657" spans="2:12" hidden="1" outlineLevel="1" x14ac:dyDescent="0.3"/>
    <row r="658" spans="2:12" hidden="1" outlineLevel="1" x14ac:dyDescent="0.3">
      <c r="D658" s="180">
        <v>2021</v>
      </c>
      <c r="E658" s="180">
        <v>2022</v>
      </c>
      <c r="F658" s="180">
        <v>2023</v>
      </c>
      <c r="G658" s="180">
        <v>2024</v>
      </c>
    </row>
    <row r="659" spans="2:12" hidden="1" outlineLevel="1" x14ac:dyDescent="0.3">
      <c r="C659" s="71" t="s">
        <v>516</v>
      </c>
      <c r="D659" s="320">
        <v>11000</v>
      </c>
      <c r="E659" s="321">
        <v>11400</v>
      </c>
      <c r="F659" s="321">
        <v>11897.6</v>
      </c>
      <c r="G659" s="321">
        <v>12373.5</v>
      </c>
    </row>
    <row r="660" spans="2:12" hidden="1" outlineLevel="1" x14ac:dyDescent="0.3">
      <c r="C660" s="71" t="s">
        <v>517</v>
      </c>
      <c r="D660" s="320">
        <v>9828.73</v>
      </c>
      <c r="E660" s="321">
        <v>10221.879999999999</v>
      </c>
      <c r="F660" s="321">
        <v>10630.75</v>
      </c>
      <c r="G660" s="321">
        <v>11055.98</v>
      </c>
    </row>
    <row r="661" spans="2:12" hidden="1" outlineLevel="1" x14ac:dyDescent="0.3">
      <c r="C661" s="71" t="s">
        <v>518</v>
      </c>
      <c r="D661" s="320">
        <v>6410.04</v>
      </c>
      <c r="E661" s="321">
        <v>6666.44</v>
      </c>
      <c r="F661" s="321">
        <v>6933.09</v>
      </c>
      <c r="G661" s="321">
        <v>7210.42</v>
      </c>
    </row>
    <row r="662" spans="2:12" hidden="1" outlineLevel="1" x14ac:dyDescent="0.3">
      <c r="C662" s="71" t="s">
        <v>519</v>
      </c>
      <c r="D662" s="320">
        <v>4500</v>
      </c>
      <c r="E662" s="321">
        <v>4725</v>
      </c>
      <c r="F662" s="321">
        <v>4961.25</v>
      </c>
      <c r="G662" s="321">
        <v>5209.32</v>
      </c>
    </row>
    <row r="663" spans="2:12" hidden="1" outlineLevel="1" x14ac:dyDescent="0.3">
      <c r="C663" s="71" t="s">
        <v>520</v>
      </c>
      <c r="D663" s="320">
        <v>3000</v>
      </c>
      <c r="E663" s="323">
        <f>+D663*(1+G641)</f>
        <v>3198</v>
      </c>
      <c r="F663" s="321">
        <v>3244.8</v>
      </c>
      <c r="G663" s="321">
        <v>3374.59</v>
      </c>
    </row>
    <row r="664" spans="2:12" hidden="1" outlineLevel="1" x14ac:dyDescent="0.3">
      <c r="C664" s="71" t="s">
        <v>521</v>
      </c>
      <c r="D664" s="320">
        <v>1482.15</v>
      </c>
      <c r="E664" s="321">
        <v>1621.44</v>
      </c>
      <c r="F664" s="321">
        <v>1702.51</v>
      </c>
      <c r="G664" s="321">
        <v>1787.64</v>
      </c>
    </row>
    <row r="665" spans="2:12" hidden="1" outlineLevel="1" x14ac:dyDescent="0.3"/>
    <row r="666" spans="2:12" hidden="1" outlineLevel="1" x14ac:dyDescent="0.3"/>
    <row r="667" spans="2:12" collapsed="1" x14ac:dyDescent="0.3"/>
    <row r="668" spans="2:12" ht="20.100000000000001" customHeight="1" x14ac:dyDescent="0.3">
      <c r="B668" s="234" t="s">
        <v>522</v>
      </c>
      <c r="C668" s="235"/>
      <c r="D668" s="236"/>
      <c r="E668" s="236"/>
      <c r="F668" s="236"/>
      <c r="G668" s="235"/>
      <c r="H668" s="235"/>
      <c r="I668" s="235"/>
      <c r="J668" s="235"/>
      <c r="K668" s="235"/>
      <c r="L668" s="235"/>
    </row>
    <row r="669" spans="2:12" ht="15.6" hidden="1" outlineLevel="1" x14ac:dyDescent="0.3">
      <c r="B669" s="223" t="s">
        <v>523</v>
      </c>
      <c r="I669" s="223" t="s">
        <v>524</v>
      </c>
    </row>
    <row r="670" spans="2:12" hidden="1" outlineLevel="1" x14ac:dyDescent="0.3">
      <c r="B670" s="1" t="s">
        <v>525</v>
      </c>
      <c r="I670" s="1" t="s">
        <v>526</v>
      </c>
    </row>
    <row r="671" spans="2:12" hidden="1" outlineLevel="1" x14ac:dyDescent="0.3">
      <c r="B671" s="1" t="s">
        <v>527</v>
      </c>
      <c r="I671" s="1" t="s">
        <v>528</v>
      </c>
    </row>
    <row r="672" spans="2:12" hidden="1" outlineLevel="1" x14ac:dyDescent="0.3">
      <c r="B672" s="1" t="s">
        <v>529</v>
      </c>
      <c r="I672" s="1" t="s">
        <v>530</v>
      </c>
    </row>
    <row r="673" spans="3:10" hidden="1" outlineLevel="1" x14ac:dyDescent="0.3"/>
    <row r="674" spans="3:10" hidden="1" outlineLevel="1" x14ac:dyDescent="0.3">
      <c r="D674" s="2" t="s">
        <v>117</v>
      </c>
      <c r="E674" s="2">
        <v>1592</v>
      </c>
      <c r="I674" s="2" t="s">
        <v>117</v>
      </c>
      <c r="J674" s="2">
        <v>1592</v>
      </c>
    </row>
    <row r="675" spans="3:10" hidden="1" outlineLevel="1" x14ac:dyDescent="0.3">
      <c r="C675" s="1" t="s">
        <v>531</v>
      </c>
      <c r="D675" s="2" t="s">
        <v>202</v>
      </c>
      <c r="E675" s="2">
        <v>35</v>
      </c>
      <c r="I675" s="2" t="s">
        <v>202</v>
      </c>
      <c r="J675" s="2">
        <v>35</v>
      </c>
    </row>
    <row r="676" spans="3:10" hidden="1" outlineLevel="1" x14ac:dyDescent="0.3">
      <c r="D676" s="1"/>
    </row>
    <row r="677" spans="3:10" hidden="1" outlineLevel="1" x14ac:dyDescent="0.3">
      <c r="E677" s="10">
        <v>6.3E-2</v>
      </c>
      <c r="F677" s="10">
        <f>5.4%+0.75%</f>
        <v>6.1500000000000006E-2</v>
      </c>
      <c r="I677" s="1" t="s">
        <v>532</v>
      </c>
    </row>
    <row r="678" spans="3:10" hidden="1" outlineLevel="1" x14ac:dyDescent="0.3">
      <c r="E678" s="10"/>
      <c r="F678" s="10"/>
      <c r="I678" s="10">
        <f>+I680/F680-1</f>
        <v>4.0500227632802588E-2</v>
      </c>
    </row>
    <row r="679" spans="3:10" hidden="1" outlineLevel="1" x14ac:dyDescent="0.3">
      <c r="D679" s="123">
        <v>2021</v>
      </c>
      <c r="E679" s="123">
        <v>2022</v>
      </c>
      <c r="F679" s="123">
        <v>2023</v>
      </c>
      <c r="I679" s="123">
        <v>2024</v>
      </c>
    </row>
    <row r="680" spans="3:10" hidden="1" outlineLevel="1" x14ac:dyDescent="0.3">
      <c r="C680" s="324" t="s">
        <v>533</v>
      </c>
      <c r="D680" s="325">
        <v>26425.21</v>
      </c>
      <c r="E680" s="326">
        <f>+D680*(1+E$677)</f>
        <v>28089.998229999997</v>
      </c>
      <c r="F680" s="326">
        <f>+E680*(1+F$677)</f>
        <v>29817.533121144999</v>
      </c>
      <c r="G680" s="326">
        <f>+F680/$E$674</f>
        <v>18.729606231875</v>
      </c>
      <c r="I680" s="326">
        <v>31025.15</v>
      </c>
      <c r="J680" s="326">
        <f>+I680/$J$674</f>
        <v>19.488159547738693</v>
      </c>
    </row>
    <row r="681" spans="3:10" hidden="1" outlineLevel="1" x14ac:dyDescent="0.3">
      <c r="C681" s="324" t="s">
        <v>534</v>
      </c>
      <c r="D681" s="326">
        <v>25428.03</v>
      </c>
      <c r="E681" s="326">
        <f t="shared" ref="E681:F684" si="135">+D681*(1+E$677)</f>
        <v>27029.995889999998</v>
      </c>
      <c r="F681" s="326">
        <f t="shared" si="135"/>
        <v>28692.340637235</v>
      </c>
      <c r="G681" s="326">
        <f t="shared" ref="G681:G684" si="136">+F681/$E$674</f>
        <v>18.022827033439071</v>
      </c>
      <c r="I681" s="326">
        <v>29854.39</v>
      </c>
      <c r="J681" s="326">
        <f t="shared" ref="J681:J684" si="137">+I681/$J$674</f>
        <v>18.752757537688442</v>
      </c>
    </row>
    <row r="682" spans="3:10" hidden="1" outlineLevel="1" x14ac:dyDescent="0.3">
      <c r="C682" s="324" t="s">
        <v>535</v>
      </c>
      <c r="D682" s="326">
        <v>24430.86</v>
      </c>
      <c r="E682" s="326">
        <f t="shared" si="135"/>
        <v>25970.00418</v>
      </c>
      <c r="F682" s="326">
        <f t="shared" si="135"/>
        <v>27567.159437070004</v>
      </c>
      <c r="G682" s="326">
        <f t="shared" si="136"/>
        <v>17.316054922782666</v>
      </c>
      <c r="I682" s="326">
        <v>28686.62</v>
      </c>
      <c r="J682" s="326">
        <f t="shared" si="137"/>
        <v>18.019233668341709</v>
      </c>
    </row>
    <row r="683" spans="3:10" hidden="1" outlineLevel="1" x14ac:dyDescent="0.3">
      <c r="C683" s="324" t="s">
        <v>536</v>
      </c>
      <c r="D683" s="326">
        <v>23435.56</v>
      </c>
      <c r="E683" s="326">
        <f t="shared" si="135"/>
        <v>24912.00028</v>
      </c>
      <c r="F683" s="326">
        <f t="shared" si="135"/>
        <v>26444.088297220002</v>
      </c>
      <c r="G683" s="326">
        <f t="shared" si="136"/>
        <v>16.610608226896986</v>
      </c>
      <c r="I683" s="326">
        <v>27515.07</v>
      </c>
      <c r="J683" s="326">
        <f t="shared" si="137"/>
        <v>17.283335427135679</v>
      </c>
    </row>
    <row r="684" spans="3:10" hidden="1" outlineLevel="1" x14ac:dyDescent="0.3">
      <c r="C684" s="324" t="s">
        <v>537</v>
      </c>
      <c r="D684" s="326">
        <v>20940.73</v>
      </c>
      <c r="E684" s="326">
        <f t="shared" si="135"/>
        <v>22259.995989999999</v>
      </c>
      <c r="F684" s="326">
        <f t="shared" si="135"/>
        <v>23628.985743385001</v>
      </c>
      <c r="G684" s="326">
        <f t="shared" si="136"/>
        <v>14.84232772825691</v>
      </c>
      <c r="I684" s="326">
        <v>24585.96</v>
      </c>
      <c r="J684" s="326">
        <f t="shared" si="137"/>
        <v>15.443442211055276</v>
      </c>
    </row>
    <row r="685" spans="3:10" hidden="1" outlineLevel="1" x14ac:dyDescent="0.3"/>
    <row r="686" spans="3:10" hidden="1" outlineLevel="1" x14ac:dyDescent="0.3">
      <c r="E686" s="10">
        <v>6.3E-2</v>
      </c>
      <c r="F686" s="10">
        <f>5.4%+0.75%</f>
        <v>6.1500000000000006E-2</v>
      </c>
      <c r="I686" s="1" t="s">
        <v>538</v>
      </c>
    </row>
    <row r="687" spans="3:10" hidden="1" outlineLevel="1" x14ac:dyDescent="0.3">
      <c r="C687" s="1" t="s">
        <v>483</v>
      </c>
      <c r="D687" s="123">
        <v>2021</v>
      </c>
      <c r="E687" s="123">
        <v>2022</v>
      </c>
      <c r="F687" s="123">
        <v>2023</v>
      </c>
      <c r="I687" s="123">
        <v>2024</v>
      </c>
    </row>
    <row r="688" spans="3:10" hidden="1" outlineLevel="1" x14ac:dyDescent="0.3">
      <c r="C688" s="1" t="s">
        <v>539</v>
      </c>
      <c r="D688" s="327">
        <v>47.04</v>
      </c>
      <c r="E688" s="327">
        <v>50</v>
      </c>
      <c r="F688" s="327">
        <f>+E688*F686+E688</f>
        <v>53.075000000000003</v>
      </c>
      <c r="I688" s="327">
        <v>53</v>
      </c>
    </row>
    <row r="689" spans="2:21" hidden="1" outlineLevel="1" x14ac:dyDescent="0.3">
      <c r="C689" s="1" t="s">
        <v>540</v>
      </c>
      <c r="F689" s="5">
        <f>3.5*(1+F686)</f>
        <v>3.7152500000000002</v>
      </c>
      <c r="I689" s="327">
        <v>3.63</v>
      </c>
    </row>
    <row r="690" spans="2:21" hidden="1" outlineLevel="1" x14ac:dyDescent="0.3">
      <c r="C690" s="1" t="s">
        <v>541</v>
      </c>
      <c r="F690" s="5">
        <f>3.6*(1+F686)</f>
        <v>3.8214000000000006</v>
      </c>
      <c r="I690" s="327">
        <v>3.74</v>
      </c>
    </row>
    <row r="691" spans="2:21" hidden="1" outlineLevel="1" x14ac:dyDescent="0.3">
      <c r="C691" s="1" t="s">
        <v>542</v>
      </c>
      <c r="D691" s="5">
        <v>141.66999999999999</v>
      </c>
      <c r="I691" s="5">
        <v>147.12</v>
      </c>
    </row>
    <row r="692" spans="2:21" hidden="1" outlineLevel="1" x14ac:dyDescent="0.3">
      <c r="C692" s="1" t="s">
        <v>543</v>
      </c>
    </row>
    <row r="693" spans="2:21" hidden="1" outlineLevel="1" x14ac:dyDescent="0.3"/>
    <row r="694" spans="2:21" hidden="1" outlineLevel="1" x14ac:dyDescent="0.3"/>
    <row r="695" spans="2:21" collapsed="1" x14ac:dyDescent="0.3"/>
    <row r="696" spans="2:21" ht="20.100000000000001" customHeight="1" x14ac:dyDescent="0.3">
      <c r="B696" s="176" t="s">
        <v>544</v>
      </c>
      <c r="C696" s="177"/>
      <c r="D696" s="178"/>
      <c r="E696" s="178"/>
      <c r="F696" s="178"/>
      <c r="G696" s="177"/>
      <c r="H696" s="177"/>
      <c r="I696" s="177"/>
      <c r="J696" s="177"/>
      <c r="K696" s="177"/>
      <c r="L696" s="177"/>
    </row>
    <row r="697" spans="2:21" hidden="1" outlineLevel="1" x14ac:dyDescent="0.3">
      <c r="B697" s="1" t="s">
        <v>545</v>
      </c>
      <c r="D697" s="1"/>
      <c r="E697" s="1"/>
    </row>
    <row r="698" spans="2:21" hidden="1" outlineLevel="1" x14ac:dyDescent="0.3">
      <c r="D698" s="2">
        <v>2024</v>
      </c>
      <c r="E698" s="2" t="s">
        <v>546</v>
      </c>
    </row>
    <row r="699" spans="2:21" hidden="1" outlineLevel="1" x14ac:dyDescent="0.3">
      <c r="C699" s="71" t="s">
        <v>547</v>
      </c>
      <c r="D699" s="2">
        <v>1750</v>
      </c>
      <c r="E699" s="2">
        <v>1704</v>
      </c>
    </row>
    <row r="700" spans="2:21" hidden="1" outlineLevel="1" x14ac:dyDescent="0.3">
      <c r="C700" s="71" t="s">
        <v>548</v>
      </c>
      <c r="D700" s="2">
        <v>38.5</v>
      </c>
      <c r="E700" s="2">
        <v>37.5</v>
      </c>
    </row>
    <row r="701" spans="2:21" hidden="1" outlineLevel="1" x14ac:dyDescent="0.3">
      <c r="C701" s="71"/>
    </row>
    <row r="702" spans="2:21" hidden="1" outlineLevel="1" x14ac:dyDescent="0.3">
      <c r="D702" s="2">
        <v>2024</v>
      </c>
      <c r="E702" s="2">
        <v>2025</v>
      </c>
      <c r="F702" s="2">
        <v>2026</v>
      </c>
      <c r="G702" s="2">
        <v>2027</v>
      </c>
      <c r="H702" s="2">
        <v>2028</v>
      </c>
      <c r="I702" s="328">
        <v>2025</v>
      </c>
      <c r="J702" s="2">
        <v>1.5</v>
      </c>
      <c r="K702" s="2">
        <v>1.75</v>
      </c>
      <c r="L702" s="66">
        <v>0.15</v>
      </c>
      <c r="M702" s="66">
        <v>0.15</v>
      </c>
      <c r="P702" s="116">
        <f>+P704/O704-1</f>
        <v>5.7805427802422926E-2</v>
      </c>
      <c r="Q702" s="116">
        <f>+Q704/P704-1</f>
        <v>3.0000031135590355E-2</v>
      </c>
      <c r="R702" s="116">
        <f>+R704/Q704-1</f>
        <v>2.9999853174750513E-2</v>
      </c>
      <c r="S702" s="116">
        <f>+S704/R704-1</f>
        <v>4.0000033540895652E-2</v>
      </c>
      <c r="T702" s="329">
        <v>0.02</v>
      </c>
      <c r="U702" s="329">
        <v>0.02</v>
      </c>
    </row>
    <row r="703" spans="2:21" s="330" customFormat="1" ht="43.2" hidden="1" outlineLevel="1" x14ac:dyDescent="0.3">
      <c r="D703" s="331" t="s">
        <v>549</v>
      </c>
      <c r="E703" s="332" t="s">
        <v>549</v>
      </c>
      <c r="F703" s="331" t="s">
        <v>549</v>
      </c>
      <c r="G703" s="331" t="s">
        <v>549</v>
      </c>
      <c r="H703" s="331" t="s">
        <v>549</v>
      </c>
      <c r="I703" s="333" t="s">
        <v>550</v>
      </c>
      <c r="J703" s="331" t="s">
        <v>551</v>
      </c>
      <c r="K703" s="331" t="s">
        <v>552</v>
      </c>
      <c r="L703" s="331" t="s">
        <v>553</v>
      </c>
      <c r="M703" s="331" t="s">
        <v>554</v>
      </c>
      <c r="O703" s="330" t="s">
        <v>119</v>
      </c>
      <c r="P703" s="330" t="s">
        <v>120</v>
      </c>
      <c r="Q703" s="330" t="s">
        <v>121</v>
      </c>
      <c r="R703" s="330" t="s">
        <v>555</v>
      </c>
      <c r="S703" s="330" t="s">
        <v>556</v>
      </c>
      <c r="T703" s="334" t="s">
        <v>557</v>
      </c>
      <c r="U703" s="334" t="s">
        <v>558</v>
      </c>
    </row>
    <row r="704" spans="2:21" hidden="1" outlineLevel="1" x14ac:dyDescent="0.3">
      <c r="C704" s="1" t="s">
        <v>559</v>
      </c>
      <c r="D704" s="109">
        <v>21827.48</v>
      </c>
      <c r="E704" s="109">
        <v>22482.31</v>
      </c>
      <c r="F704" s="109">
        <v>23156.78</v>
      </c>
      <c r="G704" s="109">
        <v>23851.48</v>
      </c>
      <c r="H704" s="109">
        <v>24805.54</v>
      </c>
      <c r="I704" s="335">
        <f>ROUND(E704/$E$699,2)</f>
        <v>13.19</v>
      </c>
      <c r="J704" s="109">
        <f>+I704*$J$702</f>
        <v>19.785</v>
      </c>
      <c r="K704" s="109">
        <f>+I704*$K$702</f>
        <v>23.0825</v>
      </c>
      <c r="L704" s="109">
        <f>+I704*$L$702</f>
        <v>1.9784999999999999</v>
      </c>
      <c r="M704" s="109">
        <f>+E704*$M$702</f>
        <v>3372.3465000000001</v>
      </c>
      <c r="O704" s="109">
        <f>+D704/$D$699</f>
        <v>12.472845714285715</v>
      </c>
      <c r="P704" s="109">
        <f>+E704/$E$699</f>
        <v>13.193843896713616</v>
      </c>
      <c r="Q704" s="109">
        <f t="shared" ref="Q704:S714" si="138">+F704/$E$699</f>
        <v>13.589659624413144</v>
      </c>
      <c r="R704" s="109">
        <f t="shared" si="138"/>
        <v>13.997347417840375</v>
      </c>
      <c r="S704" s="109">
        <f t="shared" si="138"/>
        <v>14.55724178403756</v>
      </c>
    </row>
    <row r="705" spans="3:19" hidden="1" outlineLevel="1" x14ac:dyDescent="0.3">
      <c r="C705" s="1" t="s">
        <v>560</v>
      </c>
      <c r="D705" s="109">
        <v>35000</v>
      </c>
      <c r="E705" s="109">
        <v>36050</v>
      </c>
      <c r="F705" s="109">
        <v>37131.5</v>
      </c>
      <c r="G705" s="109">
        <v>38245.449999999997</v>
      </c>
      <c r="H705" s="109">
        <v>39775.26</v>
      </c>
      <c r="I705" s="335">
        <f t="shared" ref="I705:I714" si="139">ROUND(E705/$E$699,2)</f>
        <v>21.16</v>
      </c>
      <c r="J705" s="109">
        <f t="shared" ref="J705:J714" si="140">+I705*$J$702</f>
        <v>31.740000000000002</v>
      </c>
      <c r="K705" s="109">
        <f t="shared" ref="K705:K714" si="141">+I705*$K$702</f>
        <v>37.03</v>
      </c>
      <c r="L705" s="109">
        <f t="shared" ref="L705:L714" si="142">+I705*$L$702</f>
        <v>3.1739999999999999</v>
      </c>
      <c r="M705" s="109">
        <f t="shared" ref="M705:M714" si="143">+E705*$M$702</f>
        <v>5407.5</v>
      </c>
      <c r="O705" s="109">
        <f t="shared" ref="O705:O714" si="144">+D705/$D$699</f>
        <v>20</v>
      </c>
      <c r="P705" s="109">
        <f t="shared" ref="P705:P714" si="145">+E705/$E$699</f>
        <v>21.156103286384976</v>
      </c>
      <c r="Q705" s="109">
        <f t="shared" si="138"/>
        <v>21.790786384976524</v>
      </c>
      <c r="R705" s="109">
        <f t="shared" si="138"/>
        <v>22.444512910798121</v>
      </c>
      <c r="S705" s="109">
        <f t="shared" si="138"/>
        <v>23.342288732394369</v>
      </c>
    </row>
    <row r="706" spans="3:19" hidden="1" outlineLevel="1" x14ac:dyDescent="0.3">
      <c r="C706" s="1" t="s">
        <v>561</v>
      </c>
      <c r="D706" s="109">
        <v>20065.25</v>
      </c>
      <c r="E706" s="109">
        <v>20667.21</v>
      </c>
      <c r="F706" s="109">
        <v>21287.22</v>
      </c>
      <c r="G706" s="109">
        <v>21925.84</v>
      </c>
      <c r="H706" s="109">
        <v>22802.87</v>
      </c>
      <c r="I706" s="335">
        <f t="shared" si="139"/>
        <v>12.13</v>
      </c>
      <c r="J706" s="109">
        <f t="shared" si="140"/>
        <v>18.195</v>
      </c>
      <c r="K706" s="109">
        <f t="shared" si="141"/>
        <v>21.227500000000003</v>
      </c>
      <c r="L706" s="109">
        <f t="shared" si="142"/>
        <v>1.8195000000000001</v>
      </c>
      <c r="M706" s="109">
        <f t="shared" si="143"/>
        <v>3100.0814999999998</v>
      </c>
      <c r="O706" s="109">
        <f t="shared" si="144"/>
        <v>11.465857142857143</v>
      </c>
      <c r="P706" s="109">
        <f t="shared" si="145"/>
        <v>12.128644366197182</v>
      </c>
      <c r="Q706" s="109">
        <f t="shared" si="138"/>
        <v>12.492500000000001</v>
      </c>
      <c r="R706" s="109">
        <f t="shared" si="138"/>
        <v>12.867276995305165</v>
      </c>
      <c r="S706" s="109">
        <f t="shared" si="138"/>
        <v>13.381965962441313</v>
      </c>
    </row>
    <row r="707" spans="3:19" hidden="1" outlineLevel="1" x14ac:dyDescent="0.3">
      <c r="C707" s="1" t="s">
        <v>562</v>
      </c>
      <c r="D707" s="109">
        <v>20065.25</v>
      </c>
      <c r="E707" s="109">
        <v>20667.21</v>
      </c>
      <c r="F707" s="109">
        <v>21287.22</v>
      </c>
      <c r="G707" s="109">
        <v>21925.84</v>
      </c>
      <c r="H707" s="109">
        <v>22802.87</v>
      </c>
      <c r="I707" s="335">
        <f t="shared" si="139"/>
        <v>12.13</v>
      </c>
      <c r="J707" s="109">
        <f t="shared" si="140"/>
        <v>18.195</v>
      </c>
      <c r="K707" s="109">
        <f t="shared" si="141"/>
        <v>21.227500000000003</v>
      </c>
      <c r="L707" s="109">
        <f t="shared" si="142"/>
        <v>1.8195000000000001</v>
      </c>
      <c r="M707" s="109">
        <f t="shared" si="143"/>
        <v>3100.0814999999998</v>
      </c>
      <c r="O707" s="109">
        <f t="shared" si="144"/>
        <v>11.465857142857143</v>
      </c>
      <c r="P707" s="109">
        <f t="shared" si="145"/>
        <v>12.128644366197182</v>
      </c>
      <c r="Q707" s="109">
        <f t="shared" si="138"/>
        <v>12.492500000000001</v>
      </c>
      <c r="R707" s="109">
        <f t="shared" si="138"/>
        <v>12.867276995305165</v>
      </c>
      <c r="S707" s="109">
        <f t="shared" si="138"/>
        <v>13.381965962441313</v>
      </c>
    </row>
    <row r="708" spans="3:19" hidden="1" outlineLevel="1" x14ac:dyDescent="0.3">
      <c r="C708" s="1" t="s">
        <v>563</v>
      </c>
      <c r="D708" s="109">
        <v>19461.05</v>
      </c>
      <c r="E708" s="109">
        <v>20044.88</v>
      </c>
      <c r="F708" s="109">
        <v>20646.23</v>
      </c>
      <c r="G708" s="109">
        <v>21265.62</v>
      </c>
      <c r="H708" s="109">
        <v>22116.240000000002</v>
      </c>
      <c r="I708" s="335">
        <f t="shared" si="139"/>
        <v>11.76</v>
      </c>
      <c r="J708" s="109">
        <f t="shared" si="140"/>
        <v>17.64</v>
      </c>
      <c r="K708" s="109">
        <f t="shared" si="141"/>
        <v>20.58</v>
      </c>
      <c r="L708" s="109">
        <f t="shared" si="142"/>
        <v>1.764</v>
      </c>
      <c r="M708" s="109">
        <f t="shared" si="143"/>
        <v>3006.732</v>
      </c>
      <c r="O708" s="109">
        <f t="shared" si="144"/>
        <v>11.1206</v>
      </c>
      <c r="P708" s="109">
        <f t="shared" si="145"/>
        <v>11.763427230046949</v>
      </c>
      <c r="Q708" s="109">
        <f t="shared" si="138"/>
        <v>12.116332159624413</v>
      </c>
      <c r="R708" s="109">
        <f t="shared" si="138"/>
        <v>12.479823943661971</v>
      </c>
      <c r="S708" s="109">
        <f t="shared" si="138"/>
        <v>12.979014084507043</v>
      </c>
    </row>
    <row r="709" spans="3:19" hidden="1" outlineLevel="1" x14ac:dyDescent="0.3">
      <c r="C709" s="1" t="s">
        <v>564</v>
      </c>
      <c r="D709" s="109">
        <v>18554.759999999998</v>
      </c>
      <c r="E709" s="109">
        <v>19111.400000000001</v>
      </c>
      <c r="F709" s="109">
        <v>19684.740000000002</v>
      </c>
      <c r="G709" s="109">
        <v>20275.29</v>
      </c>
      <c r="H709" s="109">
        <v>21086.3</v>
      </c>
      <c r="I709" s="335">
        <f t="shared" si="139"/>
        <v>11.22</v>
      </c>
      <c r="J709" s="109">
        <f t="shared" si="140"/>
        <v>16.830000000000002</v>
      </c>
      <c r="K709" s="109">
        <f t="shared" si="141"/>
        <v>19.635000000000002</v>
      </c>
      <c r="L709" s="109">
        <f t="shared" si="142"/>
        <v>1.6830000000000001</v>
      </c>
      <c r="M709" s="109">
        <f t="shared" si="143"/>
        <v>2866.71</v>
      </c>
      <c r="O709" s="109">
        <f t="shared" si="144"/>
        <v>10.60272</v>
      </c>
      <c r="P709" s="109">
        <f t="shared" si="145"/>
        <v>11.215610328638499</v>
      </c>
      <c r="Q709" s="109">
        <f t="shared" si="138"/>
        <v>11.552077464788733</v>
      </c>
      <c r="R709" s="109">
        <f t="shared" si="138"/>
        <v>11.898644366197184</v>
      </c>
      <c r="S709" s="109">
        <f t="shared" si="138"/>
        <v>12.374589201877933</v>
      </c>
    </row>
    <row r="710" spans="3:19" hidden="1" outlineLevel="1" x14ac:dyDescent="0.3">
      <c r="C710" s="1" t="s">
        <v>565</v>
      </c>
      <c r="D710" s="109">
        <v>18135.18</v>
      </c>
      <c r="E710" s="109">
        <v>18679.240000000002</v>
      </c>
      <c r="F710" s="109">
        <v>19239.61</v>
      </c>
      <c r="G710" s="109">
        <v>19816.8</v>
      </c>
      <c r="H710" s="109">
        <v>20609.47</v>
      </c>
      <c r="I710" s="335">
        <f t="shared" si="139"/>
        <v>10.96</v>
      </c>
      <c r="J710" s="109">
        <f t="shared" si="140"/>
        <v>16.440000000000001</v>
      </c>
      <c r="K710" s="109">
        <f t="shared" si="141"/>
        <v>19.18</v>
      </c>
      <c r="L710" s="109">
        <f t="shared" si="142"/>
        <v>1.6440000000000001</v>
      </c>
      <c r="M710" s="109">
        <f t="shared" si="143"/>
        <v>2801.886</v>
      </c>
      <c r="O710" s="109">
        <f t="shared" si="144"/>
        <v>10.362959999999999</v>
      </c>
      <c r="P710" s="109">
        <f t="shared" si="145"/>
        <v>10.96199530516432</v>
      </c>
      <c r="Q710" s="109">
        <f t="shared" si="138"/>
        <v>11.290850938967136</v>
      </c>
      <c r="R710" s="109">
        <f t="shared" si="138"/>
        <v>11.629577464788731</v>
      </c>
      <c r="S710" s="109">
        <f t="shared" si="138"/>
        <v>12.094759389671362</v>
      </c>
    </row>
    <row r="711" spans="3:19" hidden="1" outlineLevel="1" x14ac:dyDescent="0.3">
      <c r="C711" s="1" t="s">
        <v>566</v>
      </c>
      <c r="D711" s="109">
        <v>18135.18</v>
      </c>
      <c r="E711" s="109">
        <v>18679.240000000002</v>
      </c>
      <c r="F711" s="109">
        <v>19239.61</v>
      </c>
      <c r="G711" s="109">
        <v>19816.8</v>
      </c>
      <c r="H711" s="109">
        <v>20609.47</v>
      </c>
      <c r="I711" s="335">
        <f t="shared" si="139"/>
        <v>10.96</v>
      </c>
      <c r="J711" s="109">
        <f t="shared" si="140"/>
        <v>16.440000000000001</v>
      </c>
      <c r="K711" s="109">
        <f t="shared" si="141"/>
        <v>19.18</v>
      </c>
      <c r="L711" s="109">
        <f t="shared" si="142"/>
        <v>1.6440000000000001</v>
      </c>
      <c r="M711" s="109">
        <f t="shared" si="143"/>
        <v>2801.886</v>
      </c>
      <c r="O711" s="109">
        <f t="shared" si="144"/>
        <v>10.362959999999999</v>
      </c>
      <c r="P711" s="109">
        <f t="shared" si="145"/>
        <v>10.96199530516432</v>
      </c>
      <c r="Q711" s="109">
        <f t="shared" si="138"/>
        <v>11.290850938967136</v>
      </c>
      <c r="R711" s="109">
        <f t="shared" si="138"/>
        <v>11.629577464788731</v>
      </c>
      <c r="S711" s="109">
        <f t="shared" si="138"/>
        <v>12.094759389671362</v>
      </c>
    </row>
    <row r="712" spans="3:19" hidden="1" outlineLevel="1" x14ac:dyDescent="0.3">
      <c r="C712" s="1" t="s">
        <v>567</v>
      </c>
      <c r="D712" s="109">
        <v>17715.599999999999</v>
      </c>
      <c r="E712" s="109">
        <v>18247.07</v>
      </c>
      <c r="F712" s="109">
        <v>18794.48</v>
      </c>
      <c r="G712" s="109">
        <v>19358.310000000001</v>
      </c>
      <c r="H712" s="109">
        <v>20132.650000000001</v>
      </c>
      <c r="I712" s="335">
        <f t="shared" si="139"/>
        <v>10.71</v>
      </c>
      <c r="J712" s="109">
        <f t="shared" si="140"/>
        <v>16.065000000000001</v>
      </c>
      <c r="K712" s="109">
        <f t="shared" si="141"/>
        <v>18.7425</v>
      </c>
      <c r="L712" s="109">
        <f t="shared" si="142"/>
        <v>1.6065</v>
      </c>
      <c r="M712" s="109">
        <f t="shared" si="143"/>
        <v>2737.0605</v>
      </c>
      <c r="O712" s="109">
        <f t="shared" si="144"/>
        <v>10.123199999999999</v>
      </c>
      <c r="P712" s="109">
        <f t="shared" si="145"/>
        <v>10.70837441314554</v>
      </c>
      <c r="Q712" s="109">
        <f t="shared" si="138"/>
        <v>11.029624413145539</v>
      </c>
      <c r="R712" s="109">
        <f t="shared" si="138"/>
        <v>11.360510563380283</v>
      </c>
      <c r="S712" s="109">
        <f t="shared" si="138"/>
        <v>11.814935446009391</v>
      </c>
    </row>
    <row r="713" spans="3:19" hidden="1" outlineLevel="1" x14ac:dyDescent="0.3">
      <c r="C713" s="1" t="s">
        <v>568</v>
      </c>
      <c r="D713" s="109">
        <v>17547.77</v>
      </c>
      <c r="E713" s="109">
        <v>18074.2</v>
      </c>
      <c r="F713" s="109">
        <v>18616.43</v>
      </c>
      <c r="G713" s="109">
        <v>19174.919999999998</v>
      </c>
      <c r="H713" s="109">
        <v>19941.919999999998</v>
      </c>
      <c r="I713" s="335">
        <f t="shared" si="139"/>
        <v>10.61</v>
      </c>
      <c r="J713" s="109">
        <f t="shared" si="140"/>
        <v>15.914999999999999</v>
      </c>
      <c r="K713" s="109">
        <f t="shared" si="141"/>
        <v>18.567499999999999</v>
      </c>
      <c r="L713" s="109">
        <f t="shared" si="142"/>
        <v>1.5914999999999999</v>
      </c>
      <c r="M713" s="109">
        <f t="shared" si="143"/>
        <v>2711.13</v>
      </c>
      <c r="O713" s="109">
        <f t="shared" si="144"/>
        <v>10.027297142857144</v>
      </c>
      <c r="P713" s="109">
        <f t="shared" si="145"/>
        <v>10.606924882629109</v>
      </c>
      <c r="Q713" s="109">
        <f t="shared" si="138"/>
        <v>10.925134976525822</v>
      </c>
      <c r="R713" s="109">
        <f t="shared" si="138"/>
        <v>11.252887323943661</v>
      </c>
      <c r="S713" s="109">
        <f t="shared" si="138"/>
        <v>11.703004694835681</v>
      </c>
    </row>
    <row r="714" spans="3:19" hidden="1" outlineLevel="1" x14ac:dyDescent="0.3">
      <c r="C714" s="1" t="s">
        <v>569</v>
      </c>
      <c r="D714" s="109">
        <v>17497.150000000001</v>
      </c>
      <c r="E714" s="109">
        <v>18022.07</v>
      </c>
      <c r="F714" s="109">
        <v>18562.73</v>
      </c>
      <c r="G714" s="109">
        <v>19119.61</v>
      </c>
      <c r="H714" s="109">
        <v>19884.39</v>
      </c>
      <c r="I714" s="335">
        <f t="shared" si="139"/>
        <v>10.58</v>
      </c>
      <c r="J714" s="109">
        <f t="shared" si="140"/>
        <v>15.870000000000001</v>
      </c>
      <c r="K714" s="109">
        <f t="shared" si="141"/>
        <v>18.515000000000001</v>
      </c>
      <c r="L714" s="109">
        <f t="shared" si="142"/>
        <v>1.587</v>
      </c>
      <c r="M714" s="109">
        <f t="shared" si="143"/>
        <v>2703.3105</v>
      </c>
      <c r="O714" s="109">
        <f t="shared" si="144"/>
        <v>9.9983714285714296</v>
      </c>
      <c r="P714" s="109">
        <f t="shared" si="145"/>
        <v>10.576332159624412</v>
      </c>
      <c r="Q714" s="109">
        <f t="shared" si="138"/>
        <v>10.893620892018779</v>
      </c>
      <c r="R714" s="109">
        <f t="shared" si="138"/>
        <v>11.22042840375587</v>
      </c>
      <c r="S714" s="109">
        <f t="shared" si="138"/>
        <v>11.669242957746478</v>
      </c>
    </row>
    <row r="715" spans="3:19" collapsed="1" x14ac:dyDescent="0.3"/>
  </sheetData>
  <mergeCells count="67">
    <mergeCell ref="F638:M640"/>
    <mergeCell ref="C596:I596"/>
    <mergeCell ref="C597:I597"/>
    <mergeCell ref="C598:I598"/>
    <mergeCell ref="C599:I599"/>
    <mergeCell ref="C600:I600"/>
    <mergeCell ref="Q608:U611"/>
    <mergeCell ref="B548:J548"/>
    <mergeCell ref="B550:J550"/>
    <mergeCell ref="B552:J552"/>
    <mergeCell ref="B554:J554"/>
    <mergeCell ref="B556:J556"/>
    <mergeCell ref="P563:P565"/>
    <mergeCell ref="B399:B400"/>
    <mergeCell ref="B401:B402"/>
    <mergeCell ref="B422:B423"/>
    <mergeCell ref="B426:B431"/>
    <mergeCell ref="C458:C459"/>
    <mergeCell ref="C460:C461"/>
    <mergeCell ref="B352:B360"/>
    <mergeCell ref="B361:B363"/>
    <mergeCell ref="B364:B368"/>
    <mergeCell ref="B369:B374"/>
    <mergeCell ref="B392:L392"/>
    <mergeCell ref="B397:B398"/>
    <mergeCell ref="B288:B292"/>
    <mergeCell ref="B293:B301"/>
    <mergeCell ref="B302:B304"/>
    <mergeCell ref="B305:B308"/>
    <mergeCell ref="B309:B314"/>
    <mergeCell ref="B346:B351"/>
    <mergeCell ref="B224:B229"/>
    <mergeCell ref="B245:B249"/>
    <mergeCell ref="B250:B255"/>
    <mergeCell ref="B259:B260"/>
    <mergeCell ref="B261:B264"/>
    <mergeCell ref="B265:B270"/>
    <mergeCell ref="H200:I200"/>
    <mergeCell ref="J200:K200"/>
    <mergeCell ref="B202:B206"/>
    <mergeCell ref="B207:B216"/>
    <mergeCell ref="B217:B219"/>
    <mergeCell ref="B220:B223"/>
    <mergeCell ref="B160:B164"/>
    <mergeCell ref="B165:B174"/>
    <mergeCell ref="B175:B176"/>
    <mergeCell ref="B177:B180"/>
    <mergeCell ref="B181:B186"/>
    <mergeCell ref="F200:G200"/>
    <mergeCell ref="B66:B76"/>
    <mergeCell ref="B77:B78"/>
    <mergeCell ref="B79:B82"/>
    <mergeCell ref="B83:B89"/>
    <mergeCell ref="B148:B150"/>
    <mergeCell ref="C148:D150"/>
    <mergeCell ref="C39:I43"/>
    <mergeCell ref="C45:I45"/>
    <mergeCell ref="C47:I47"/>
    <mergeCell ref="C48:I48"/>
    <mergeCell ref="C49:I49"/>
    <mergeCell ref="B61:B65"/>
    <mergeCell ref="E8:P8"/>
    <mergeCell ref="B12:B16"/>
    <mergeCell ref="B17:B25"/>
    <mergeCell ref="B26:B27"/>
    <mergeCell ref="B28:B31"/>
    <mergeCell ref="B32:B37"/>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6F54CBCE09CF142865BE8431704832B" ma:contentTypeVersion="14" ma:contentTypeDescription="Crear nuevo documento." ma:contentTypeScope="" ma:versionID="69db7a983641468f2c2571107485a8f2">
  <xsd:schema xmlns:xsd="http://www.w3.org/2001/XMLSchema" xmlns:xs="http://www.w3.org/2001/XMLSchema" xmlns:p="http://schemas.microsoft.com/office/2006/metadata/properties" xmlns:ns2="9f728d05-a6a9-4ad4-a06e-775e88e6fcac" xmlns:ns3="3ec3f8dd-b93f-4ee9-9746-be58cf83c532" targetNamespace="http://schemas.microsoft.com/office/2006/metadata/properties" ma:root="true" ma:fieldsID="003902724c72f8b4f23abd63da11619a" ns2:_="" ns3:_="">
    <xsd:import namespace="9f728d05-a6a9-4ad4-a06e-775e88e6fcac"/>
    <xsd:import namespace="3ec3f8dd-b93f-4ee9-9746-be58cf83c53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728d05-a6a9-4ad4-a06e-775e88e6fcac"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5" nillable="true" ma:displayName="Taxonomy Catch All Column" ma:hidden="true" ma:list="{e7044fb0-1b5c-4f7d-8b05-f8a35d6a2d17}" ma:internalName="TaxCatchAll" ma:showField="CatchAllData" ma:web="9f728d05-a6a9-4ad4-a06e-775e88e6fca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ec3f8dd-b93f-4ee9-9746-be58cf83c53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ff17db49-f3e3-4026-9b6d-ed54339c9ac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f728d05-a6a9-4ad4-a06e-775e88e6fcac" xsi:nil="true"/>
    <lcf76f155ced4ddcb4097134ff3c332f xmlns="3ec3f8dd-b93f-4ee9-9746-be58cf83c53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501967-452A-4534-B368-956BD28C69F0}"/>
</file>

<file path=customXml/itemProps2.xml><?xml version="1.0" encoding="utf-8"?>
<ds:datastoreItem xmlns:ds="http://schemas.openxmlformats.org/officeDocument/2006/customXml" ds:itemID="{D0FA32AE-06E6-4499-9D2D-DA10F1355589}"/>
</file>

<file path=customXml/itemProps3.xml><?xml version="1.0" encoding="utf-8"?>
<ds:datastoreItem xmlns:ds="http://schemas.openxmlformats.org/officeDocument/2006/customXml" ds:itemID="{C140C310-2A32-4AA3-A806-317F288380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Convenios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Elizalde Elizalde</dc:creator>
  <cp:lastModifiedBy>Guillermo Elizalde Elizalde</cp:lastModifiedBy>
  <dcterms:created xsi:type="dcterms:W3CDTF">2025-07-29T08:48:03Z</dcterms:created>
  <dcterms:modified xsi:type="dcterms:W3CDTF">2025-07-29T08:49:08Z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0x01010046F54CBCE09CF142865BE8431704832B</vt:lpwstr>
  </property>
  <property fmtid="{D5CDD505-2E9C-101B-9397-08002B2CF9AE}" pid="3" name="MediaServiceImageTags">
    <vt:lpwstr/>
  </property>
</Properties>
</file>